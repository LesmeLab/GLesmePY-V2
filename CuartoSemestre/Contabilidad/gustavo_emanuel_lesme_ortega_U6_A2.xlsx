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IIN\4Sem\Repositorio\GLesmePY-V2\CuartoSemestre\Contabilidad\"/>
    </mc:Choice>
  </mc:AlternateContent>
  <xr:revisionPtr revIDLastSave="0" documentId="13_ncr:1_{E7E9EF43-A2D7-4B64-A4B3-AFAD54E65E41}" xr6:coauthVersionLast="47" xr6:coauthVersionMax="47" xr10:uidLastSave="{00000000-0000-0000-0000-000000000000}"/>
  <bookViews>
    <workbookView xWindow="7524" yWindow="0" windowWidth="15516" windowHeight="12360" activeTab="4" xr2:uid="{090B9A4D-2250-4C24-A66F-E08B334445AA}"/>
  </bookViews>
  <sheets>
    <sheet name="A" sheetId="1" r:id="rId1"/>
    <sheet name="B" sheetId="2" r:id="rId2"/>
    <sheet name="C" sheetId="3" r:id="rId3"/>
    <sheet name="D" sheetId="4" r:id="rId4"/>
    <sheet name="E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5" l="1"/>
  <c r="E5" i="5"/>
  <c r="E3" i="5"/>
  <c r="C4" i="5"/>
  <c r="C3" i="5"/>
  <c r="E3" i="4"/>
  <c r="E5" i="4" s="1"/>
  <c r="E4" i="4"/>
  <c r="C5" i="4"/>
  <c r="C4" i="4"/>
  <c r="C19" i="3" l="1"/>
  <c r="E17" i="3"/>
  <c r="C17" i="3"/>
  <c r="C22" i="3"/>
  <c r="E12" i="3"/>
  <c r="C12" i="3"/>
  <c r="C10" i="3"/>
  <c r="C9" i="3"/>
  <c r="E10" i="3"/>
  <c r="E9" i="3"/>
  <c r="C5" i="3"/>
  <c r="C6" i="3"/>
  <c r="E6" i="3"/>
  <c r="E5" i="3" l="1"/>
  <c r="E4" i="3"/>
  <c r="E3" i="3"/>
  <c r="C4" i="3"/>
  <c r="C3" i="3"/>
  <c r="C1" i="3"/>
  <c r="E14" i="2"/>
  <c r="C14" i="2"/>
  <c r="E10" i="2"/>
  <c r="C10" i="2"/>
  <c r="E9" i="2"/>
  <c r="E8" i="2"/>
  <c r="C8" i="2"/>
  <c r="A7" i="2"/>
  <c r="E5" i="2"/>
  <c r="C5" i="2"/>
  <c r="E3" i="2"/>
  <c r="C4" i="2"/>
  <c r="C3" i="2"/>
  <c r="A2" i="2"/>
  <c r="L18" i="1"/>
  <c r="K18" i="1"/>
  <c r="L15" i="1"/>
  <c r="K14" i="1"/>
  <c r="I14" i="1"/>
  <c r="L11" i="1"/>
  <c r="L10" i="1"/>
  <c r="K9" i="1"/>
  <c r="I9" i="1"/>
  <c r="L6" i="1"/>
  <c r="K5" i="1"/>
  <c r="K4" i="1"/>
  <c r="E19" i="1"/>
  <c r="C19" i="1"/>
  <c r="E18" i="1"/>
  <c r="C18" i="1"/>
  <c r="E15" i="1"/>
  <c r="C15" i="1"/>
  <c r="C13" i="1"/>
  <c r="E14" i="1"/>
  <c r="E13" i="1"/>
  <c r="A12" i="1"/>
  <c r="E5" i="1"/>
  <c r="C5" i="1"/>
  <c r="C4" i="1"/>
  <c r="E3" i="1"/>
  <c r="C3" i="1"/>
  <c r="C9" i="1"/>
</calcChain>
</file>

<file path=xl/sharedStrings.xml><?xml version="1.0" encoding="utf-8"?>
<sst xmlns="http://schemas.openxmlformats.org/spreadsheetml/2006/main" count="111" uniqueCount="34">
  <si>
    <t>DEBE</t>
  </si>
  <si>
    <t>HABER</t>
  </si>
  <si>
    <t>CAJA</t>
  </si>
  <si>
    <t>VENTA DE MERCADERIA</t>
  </si>
  <si>
    <t>FORMATO DEL LIBRO DIARIO</t>
  </si>
  <si>
    <t>NRO</t>
  </si>
  <si>
    <t>FECHA</t>
  </si>
  <si>
    <t>CUENTAS CONTABLES</t>
  </si>
  <si>
    <t>20 NB</t>
  </si>
  <si>
    <t>PC C/IVA</t>
  </si>
  <si>
    <t>PC S/IVA</t>
  </si>
  <si>
    <t>MERCADERIAS</t>
  </si>
  <si>
    <t>IVA CF 10%</t>
  </si>
  <si>
    <t>DOCUMENTOS A PAGAR</t>
  </si>
  <si>
    <t>COMPRA</t>
  </si>
  <si>
    <t>VENTA</t>
  </si>
  <si>
    <t>IVA DF 10%</t>
  </si>
  <si>
    <t xml:space="preserve">BANCO CTA CTE </t>
  </si>
  <si>
    <t>COSTO</t>
  </si>
  <si>
    <t>COSTO DE VENTA</t>
  </si>
  <si>
    <t>MERCADERIA</t>
  </si>
  <si>
    <t>COSTO= UNID.VEND*PC S/IVA</t>
  </si>
  <si>
    <t>COMPRA DE MERCADERIAS</t>
  </si>
  <si>
    <t>BANCO CTA CTE</t>
  </si>
  <si>
    <t>COSTEO DE VENTA</t>
  </si>
  <si>
    <t>DOCUMENTOS A COBRAR</t>
  </si>
  <si>
    <t>COSTEO</t>
  </si>
  <si>
    <t>INTERES A PAGAR</t>
  </si>
  <si>
    <t>INTERES A VENCER</t>
  </si>
  <si>
    <t>VENTA DE MERCADERIAS</t>
  </si>
  <si>
    <t>IPS A PAGAR</t>
  </si>
  <si>
    <t>APORTE PATRONAL</t>
  </si>
  <si>
    <t>SUELDOS Y JORNALES</t>
  </si>
  <si>
    <t>HONORARIOS PROFESIONALES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</si>
</sst>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₲&quot;\ * #,##0_ ;_ &quot;₲&quot;\ * \-#,##0_ ;_ &quot;₲&quot;\ * &quot;-&quot;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1"/>
      <color theme="1"/>
      <name val="Consolas"/>
      <family val="3"/>
    </font>
    <font>
      <b/>
      <sz val="12"/>
      <color theme="1"/>
      <name val="Aptos"/>
      <family val="2"/>
    </font>
    <font>
      <b/>
      <i/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0" fontId="2" fillId="0" borderId="0"/>
  </cellStyleXfs>
  <cellXfs count="20">
    <xf numFmtId="0" fontId="0" fillId="0" borderId="0" xfId="0"/>
    <xf numFmtId="0" fontId="2" fillId="0" borderId="0" xfId="0" applyFont="1"/>
    <xf numFmtId="0" fontId="2" fillId="0" borderId="0" xfId="2"/>
    <xf numFmtId="0" fontId="2" fillId="0" borderId="5" xfId="2" applyBorder="1"/>
    <xf numFmtId="0" fontId="3" fillId="0" borderId="7" xfId="0" applyFont="1" applyBorder="1"/>
    <xf numFmtId="14" fontId="3" fillId="0" borderId="7" xfId="0" applyNumberFormat="1" applyFont="1" applyBorder="1"/>
    <xf numFmtId="42" fontId="3" fillId="0" borderId="7" xfId="1" applyFont="1" applyBorder="1"/>
    <xf numFmtId="42" fontId="2" fillId="0" borderId="0" xfId="1" applyFont="1"/>
    <xf numFmtId="42" fontId="4" fillId="0" borderId="0" xfId="1" applyFont="1"/>
    <xf numFmtId="42" fontId="2" fillId="0" borderId="0" xfId="0" applyNumberFormat="1" applyFont="1"/>
    <xf numFmtId="16" fontId="2" fillId="0" borderId="0" xfId="0" applyNumberFormat="1" applyFont="1"/>
    <xf numFmtId="0" fontId="5" fillId="0" borderId="0" xfId="0" applyFont="1"/>
    <xf numFmtId="0" fontId="5" fillId="0" borderId="0" xfId="0" applyFont="1" applyAlignment="1">
      <alignment wrapText="1"/>
    </xf>
    <xf numFmtId="0" fontId="2" fillId="4" borderId="0" xfId="0" applyFont="1" applyFill="1"/>
    <xf numFmtId="42" fontId="2" fillId="4" borderId="0" xfId="1" applyFont="1" applyFill="1"/>
    <xf numFmtId="0" fontId="2" fillId="2" borderId="1" xfId="2" applyFill="1" applyBorder="1" applyAlignment="1">
      <alignment horizontal="center"/>
    </xf>
    <xf numFmtId="0" fontId="2" fillId="2" borderId="2" xfId="2" applyFill="1" applyBorder="1" applyAlignment="1">
      <alignment horizontal="center"/>
    </xf>
    <xf numFmtId="0" fontId="2" fillId="2" borderId="3" xfId="2" applyFill="1" applyBorder="1" applyAlignment="1">
      <alignment horizontal="center"/>
    </xf>
    <xf numFmtId="0" fontId="2" fillId="2" borderId="4" xfId="2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</cellXfs>
  <cellStyles count="3">
    <cellStyle name="Currency [0]" xfId="1" builtinId="7"/>
    <cellStyle name="Normal" xfId="0" builtinId="0"/>
    <cellStyle name="Normal 2" xfId="2" xr:uid="{E1ECBA33-A948-4363-A438-6C30E5EDB5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20</xdr:row>
      <xdr:rowOff>182880</xdr:rowOff>
    </xdr:from>
    <xdr:to>
      <xdr:col>4</xdr:col>
      <xdr:colOff>696071</xdr:colOff>
      <xdr:row>25</xdr:row>
      <xdr:rowOff>21071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DE86D0-C09C-AD4F-F175-E6123E174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4389120"/>
          <a:ext cx="5344271" cy="8287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15</xdr:row>
      <xdr:rowOff>22860</xdr:rowOff>
    </xdr:from>
    <xdr:to>
      <xdr:col>3</xdr:col>
      <xdr:colOff>1448454</xdr:colOff>
      <xdr:row>18</xdr:row>
      <xdr:rowOff>190606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9A48EC-D503-BBE1-B846-FDC32BB2F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3040380"/>
          <a:ext cx="4686954" cy="7621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195943</xdr:colOff>
      <xdr:row>23</xdr:row>
      <xdr:rowOff>43543</xdr:rowOff>
    </xdr:from>
    <xdr:to>
      <xdr:col>4</xdr:col>
      <xdr:colOff>736895</xdr:colOff>
      <xdr:row>29</xdr:row>
      <xdr:rowOff>68204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63E88D-3069-4E7A-53AE-8BED46485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943" y="4615543"/>
          <a:ext cx="5363323" cy="12003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4</xdr:col>
      <xdr:colOff>402650</xdr:colOff>
      <xdr:row>9</xdr:row>
      <xdr:rowOff>112495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C968DE-45CE-C966-111E-151C461B1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140" y="1211580"/>
          <a:ext cx="4982270" cy="714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5</xdr:row>
      <xdr:rowOff>76200</xdr:rowOff>
    </xdr:from>
    <xdr:to>
      <xdr:col>4</xdr:col>
      <xdr:colOff>217859</xdr:colOff>
      <xdr:row>8</xdr:row>
      <xdr:rowOff>9601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730D81-D973-4468-6859-883100669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7740" y="1082040"/>
          <a:ext cx="4934639" cy="543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5FC15-7FC5-48A1-996F-363EC25D955C}">
  <dimension ref="A1:L21"/>
  <sheetViews>
    <sheetView workbookViewId="0">
      <selection activeCell="J23" sqref="J23"/>
    </sheetView>
  </sheetViews>
  <sheetFormatPr defaultRowHeight="15.6" x14ac:dyDescent="0.3"/>
  <cols>
    <col min="1" max="1" width="10.77734375" style="1" bestFit="1" customWidth="1"/>
    <col min="2" max="2" width="17.88671875" style="1" bestFit="1" customWidth="1"/>
    <col min="3" max="3" width="14.88671875" style="7" bestFit="1" customWidth="1"/>
    <col min="4" max="4" width="25.44140625" style="1" bestFit="1" customWidth="1"/>
    <col min="5" max="5" width="14.88671875" style="7" bestFit="1" customWidth="1"/>
    <col min="6" max="9" width="8.88671875" style="1"/>
    <col min="10" max="10" width="25.44140625" style="1" bestFit="1" customWidth="1"/>
    <col min="11" max="11" width="16.109375" style="1" bestFit="1" customWidth="1"/>
    <col min="12" max="12" width="16.109375" style="7" bestFit="1" customWidth="1"/>
    <col min="13" max="16384" width="8.88671875" style="1"/>
  </cols>
  <sheetData>
    <row r="1" spans="1:12" ht="16.2" thickBot="1" x14ac:dyDescent="0.35"/>
    <row r="2" spans="1:12" ht="16.2" thickBot="1" x14ac:dyDescent="0.35">
      <c r="A2" s="1" t="s">
        <v>14</v>
      </c>
      <c r="B2" s="15" t="s">
        <v>0</v>
      </c>
      <c r="C2" s="16"/>
      <c r="D2" s="17" t="s">
        <v>1</v>
      </c>
      <c r="E2" s="18"/>
      <c r="H2" s="19" t="s">
        <v>4</v>
      </c>
      <c r="I2" s="19"/>
      <c r="J2" s="19"/>
      <c r="K2" s="19"/>
      <c r="L2" s="19"/>
    </row>
    <row r="3" spans="1:12" x14ac:dyDescent="0.3">
      <c r="B3" s="2" t="s">
        <v>11</v>
      </c>
      <c r="C3" s="7">
        <f>20*C9</f>
        <v>72727272.727272719</v>
      </c>
      <c r="D3" s="3" t="s">
        <v>13</v>
      </c>
      <c r="E3" s="7">
        <f>20*C8</f>
        <v>80000000</v>
      </c>
      <c r="H3" s="4" t="s">
        <v>5</v>
      </c>
      <c r="I3" s="5" t="s">
        <v>6</v>
      </c>
      <c r="J3" s="4" t="s">
        <v>7</v>
      </c>
      <c r="K3" s="6" t="s">
        <v>0</v>
      </c>
      <c r="L3" s="6" t="s">
        <v>1</v>
      </c>
    </row>
    <row r="4" spans="1:12" x14ac:dyDescent="0.3">
      <c r="B4" s="1" t="s">
        <v>12</v>
      </c>
      <c r="C4" s="7">
        <f>20*4000000/11</f>
        <v>7272727.2727272725</v>
      </c>
      <c r="H4" s="1">
        <v>1</v>
      </c>
      <c r="I4" s="10">
        <v>46147</v>
      </c>
      <c r="J4" s="1" t="s">
        <v>11</v>
      </c>
      <c r="K4" s="9">
        <f>C3</f>
        <v>72727272.727272719</v>
      </c>
    </row>
    <row r="5" spans="1:12" x14ac:dyDescent="0.3">
      <c r="C5" s="8">
        <f>SUM(C3:C4)</f>
        <v>79999999.999999985</v>
      </c>
      <c r="E5" s="8">
        <f>SUM(E3:E4)</f>
        <v>80000000</v>
      </c>
      <c r="J5" s="1" t="s">
        <v>12</v>
      </c>
      <c r="K5" s="9">
        <f>C4</f>
        <v>7272727.2727272725</v>
      </c>
    </row>
    <row r="6" spans="1:12" x14ac:dyDescent="0.3">
      <c r="J6" s="1" t="s">
        <v>13</v>
      </c>
      <c r="L6" s="7">
        <f>E3</f>
        <v>80000000</v>
      </c>
    </row>
    <row r="7" spans="1:12" ht="31.2" x14ac:dyDescent="0.3">
      <c r="B7" s="1" t="s">
        <v>8</v>
      </c>
      <c r="J7" s="12" t="s">
        <v>22</v>
      </c>
    </row>
    <row r="8" spans="1:12" x14ac:dyDescent="0.3">
      <c r="B8" s="1" t="s">
        <v>9</v>
      </c>
      <c r="C8" s="7">
        <v>4000000</v>
      </c>
      <c r="H8" s="13"/>
      <c r="I8" s="13"/>
      <c r="J8" s="13"/>
      <c r="K8" s="13"/>
      <c r="L8" s="14"/>
    </row>
    <row r="9" spans="1:12" x14ac:dyDescent="0.3">
      <c r="B9" s="1" t="s">
        <v>10</v>
      </c>
      <c r="C9" s="7">
        <f>C8/1.1</f>
        <v>3636363.6363636362</v>
      </c>
      <c r="H9" s="1">
        <v>2</v>
      </c>
      <c r="I9" s="10">
        <f>I4</f>
        <v>46147</v>
      </c>
      <c r="J9" s="1" t="s">
        <v>23</v>
      </c>
      <c r="K9" s="9">
        <f>C13</f>
        <v>56000000</v>
      </c>
    </row>
    <row r="10" spans="1:12" x14ac:dyDescent="0.3">
      <c r="J10" s="1" t="s">
        <v>3</v>
      </c>
      <c r="L10" s="7">
        <f>E13</f>
        <v>50909090.909090906</v>
      </c>
    </row>
    <row r="11" spans="1:12" ht="16.2" thickBot="1" x14ac:dyDescent="0.35">
      <c r="A11" s="1" t="s">
        <v>15</v>
      </c>
      <c r="J11" s="1" t="s">
        <v>16</v>
      </c>
      <c r="L11" s="7">
        <f>E14</f>
        <v>5090909.0909090908</v>
      </c>
    </row>
    <row r="12" spans="1:12" ht="16.2" thickBot="1" x14ac:dyDescent="0.35">
      <c r="A12" s="1">
        <f>10*5600000</f>
        <v>56000000</v>
      </c>
      <c r="B12" s="15" t="s">
        <v>0</v>
      </c>
      <c r="C12" s="16"/>
      <c r="D12" s="17" t="s">
        <v>1</v>
      </c>
      <c r="E12" s="18"/>
      <c r="J12" s="11" t="s">
        <v>3</v>
      </c>
    </row>
    <row r="13" spans="1:12" x14ac:dyDescent="0.3">
      <c r="B13" s="2" t="s">
        <v>17</v>
      </c>
      <c r="C13" s="7">
        <f>A12</f>
        <v>56000000</v>
      </c>
      <c r="D13" s="3" t="s">
        <v>3</v>
      </c>
      <c r="E13" s="7">
        <f>A12/1.1</f>
        <v>50909090.909090906</v>
      </c>
      <c r="H13" s="13"/>
      <c r="I13" s="13"/>
      <c r="J13" s="13"/>
      <c r="K13" s="13"/>
      <c r="L13" s="14"/>
    </row>
    <row r="14" spans="1:12" x14ac:dyDescent="0.3">
      <c r="D14" s="1" t="s">
        <v>16</v>
      </c>
      <c r="E14" s="7">
        <f>A12/11</f>
        <v>5090909.0909090908</v>
      </c>
      <c r="H14" s="1">
        <v>3</v>
      </c>
      <c r="I14" s="10">
        <f>I9</f>
        <v>46147</v>
      </c>
      <c r="J14" s="1" t="s">
        <v>19</v>
      </c>
      <c r="K14" s="9">
        <f>C18</f>
        <v>36363636.36363636</v>
      </c>
    </row>
    <row r="15" spans="1:12" x14ac:dyDescent="0.3">
      <c r="C15" s="8">
        <f>SUM(C13:C14)</f>
        <v>56000000</v>
      </c>
      <c r="E15" s="8">
        <f>SUM(E13:E14)</f>
        <v>56000000</v>
      </c>
      <c r="J15" s="1" t="s">
        <v>11</v>
      </c>
      <c r="L15" s="7">
        <f>K14</f>
        <v>36363636.36363636</v>
      </c>
    </row>
    <row r="16" spans="1:12" ht="16.2" thickBot="1" x14ac:dyDescent="0.35">
      <c r="J16" s="11" t="s">
        <v>24</v>
      </c>
    </row>
    <row r="17" spans="1:12" ht="16.2" thickBot="1" x14ac:dyDescent="0.35">
      <c r="A17" s="1" t="s">
        <v>18</v>
      </c>
      <c r="B17" s="15" t="s">
        <v>0</v>
      </c>
      <c r="C17" s="16"/>
      <c r="D17" s="17" t="s">
        <v>1</v>
      </c>
      <c r="E17" s="18"/>
      <c r="H17" s="13"/>
      <c r="I17" s="13"/>
      <c r="J17" s="13"/>
      <c r="K17" s="13"/>
      <c r="L17" s="14"/>
    </row>
    <row r="18" spans="1:12" x14ac:dyDescent="0.3">
      <c r="B18" s="2" t="s">
        <v>19</v>
      </c>
      <c r="C18" s="7">
        <f>10*C9</f>
        <v>36363636.36363636</v>
      </c>
      <c r="D18" s="3" t="s">
        <v>20</v>
      </c>
      <c r="E18" s="7">
        <f>C18</f>
        <v>36363636.36363636</v>
      </c>
      <c r="K18" s="9">
        <f>SUM(K4:K16)</f>
        <v>172363636.36363637</v>
      </c>
      <c r="L18" s="7">
        <f>SUM(L4:L16)</f>
        <v>172363636.36363637</v>
      </c>
    </row>
    <row r="19" spans="1:12" x14ac:dyDescent="0.3">
      <c r="C19" s="8">
        <f>SUM(C18)</f>
        <v>36363636.36363636</v>
      </c>
      <c r="E19" s="8">
        <f>SUM(E18)</f>
        <v>36363636.36363636</v>
      </c>
    </row>
    <row r="21" spans="1:12" x14ac:dyDescent="0.3">
      <c r="B21" s="1" t="s">
        <v>21</v>
      </c>
    </row>
  </sheetData>
  <mergeCells count="7">
    <mergeCell ref="B17:C17"/>
    <mergeCell ref="D17:E17"/>
    <mergeCell ref="B2:C2"/>
    <mergeCell ref="D2:E2"/>
    <mergeCell ref="H2:L2"/>
    <mergeCell ref="B12:C12"/>
    <mergeCell ref="D12:E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2946A-2C1D-4C8F-B877-50F3A4A75430}">
  <dimension ref="A1:L16"/>
  <sheetViews>
    <sheetView workbookViewId="0">
      <selection activeCell="C23" sqref="C23"/>
    </sheetView>
  </sheetViews>
  <sheetFormatPr defaultRowHeight="15.6" x14ac:dyDescent="0.3"/>
  <cols>
    <col min="1" max="1" width="10.77734375" style="1" bestFit="1" customWidth="1"/>
    <col min="2" max="2" width="27.109375" style="1" bestFit="1" customWidth="1"/>
    <col min="3" max="3" width="14.88671875" style="7" bestFit="1" customWidth="1"/>
    <col min="4" max="4" width="24.77734375" style="1" bestFit="1" customWidth="1"/>
    <col min="5" max="5" width="14.88671875" style="7" bestFit="1" customWidth="1"/>
    <col min="6" max="16384" width="8.88671875" style="1"/>
  </cols>
  <sheetData>
    <row r="1" spans="1:12" ht="16.2" thickBot="1" x14ac:dyDescent="0.35"/>
    <row r="2" spans="1:12" ht="16.2" thickBot="1" x14ac:dyDescent="0.35">
      <c r="A2" s="1">
        <f>50*960000</f>
        <v>48000000</v>
      </c>
      <c r="B2" s="15" t="s">
        <v>0</v>
      </c>
      <c r="C2" s="16"/>
      <c r="D2" s="17" t="s">
        <v>1</v>
      </c>
      <c r="E2" s="18"/>
      <c r="H2" s="19" t="s">
        <v>4</v>
      </c>
      <c r="I2" s="19"/>
      <c r="J2" s="19"/>
      <c r="K2" s="19"/>
      <c r="L2" s="19"/>
    </row>
    <row r="3" spans="1:12" x14ac:dyDescent="0.3">
      <c r="B3" s="2" t="s">
        <v>11</v>
      </c>
      <c r="C3" s="7">
        <f>A2/1.1</f>
        <v>43636363.636363633</v>
      </c>
      <c r="D3" s="3" t="s">
        <v>2</v>
      </c>
      <c r="E3" s="7">
        <f>A2</f>
        <v>48000000</v>
      </c>
      <c r="H3" s="4" t="s">
        <v>5</v>
      </c>
      <c r="I3" s="5" t="s">
        <v>6</v>
      </c>
      <c r="J3" s="4" t="s">
        <v>7</v>
      </c>
      <c r="K3" s="6" t="s">
        <v>0</v>
      </c>
      <c r="L3" s="6" t="s">
        <v>1</v>
      </c>
    </row>
    <row r="4" spans="1:12" x14ac:dyDescent="0.3">
      <c r="B4" s="1" t="s">
        <v>12</v>
      </c>
      <c r="C4" s="7">
        <f>A2/11</f>
        <v>4363636.3636363633</v>
      </c>
    </row>
    <row r="5" spans="1:12" x14ac:dyDescent="0.3">
      <c r="C5" s="8">
        <f>SUM(C3:C4)</f>
        <v>48000000</v>
      </c>
      <c r="E5" s="8">
        <f>SUM(E3:E4)</f>
        <v>48000000</v>
      </c>
    </row>
    <row r="6" spans="1:12" ht="16.2" thickBot="1" x14ac:dyDescent="0.35">
      <c r="A6" s="1" t="s">
        <v>15</v>
      </c>
    </row>
    <row r="7" spans="1:12" ht="16.2" thickBot="1" x14ac:dyDescent="0.35">
      <c r="A7" s="1">
        <f>40*1200000</f>
        <v>48000000</v>
      </c>
      <c r="B7" s="15" t="s">
        <v>0</v>
      </c>
      <c r="C7" s="16"/>
      <c r="D7" s="17" t="s">
        <v>1</v>
      </c>
      <c r="E7" s="18"/>
    </row>
    <row r="8" spans="1:12" x14ac:dyDescent="0.3">
      <c r="B8" s="2" t="s">
        <v>25</v>
      </c>
      <c r="C8" s="7">
        <f>A7</f>
        <v>48000000</v>
      </c>
      <c r="D8" s="3" t="s">
        <v>3</v>
      </c>
      <c r="E8" s="7">
        <f>A7/1.1</f>
        <v>43636363.636363633</v>
      </c>
    </row>
    <row r="9" spans="1:12" x14ac:dyDescent="0.3">
      <c r="D9" s="1" t="s">
        <v>16</v>
      </c>
      <c r="E9" s="7">
        <f>A7/11</f>
        <v>4363636.3636363633</v>
      </c>
    </row>
    <row r="10" spans="1:12" x14ac:dyDescent="0.3">
      <c r="C10" s="8">
        <f>SUM(C8:C9)</f>
        <v>48000000</v>
      </c>
      <c r="E10" s="8">
        <f>SUM(E8:E9)</f>
        <v>48000000</v>
      </c>
    </row>
    <row r="12" spans="1:12" ht="16.2" thickBot="1" x14ac:dyDescent="0.35">
      <c r="A12" s="1" t="s">
        <v>26</v>
      </c>
    </row>
    <row r="13" spans="1:12" ht="16.2" thickBot="1" x14ac:dyDescent="0.35">
      <c r="B13" s="15" t="s">
        <v>0</v>
      </c>
      <c r="C13" s="16"/>
      <c r="D13" s="17" t="s">
        <v>1</v>
      </c>
      <c r="E13" s="18"/>
    </row>
    <row r="14" spans="1:12" x14ac:dyDescent="0.3">
      <c r="B14" s="2" t="s">
        <v>19</v>
      </c>
      <c r="C14" s="7">
        <f>40*960000/1.1</f>
        <v>34909090.909090906</v>
      </c>
      <c r="D14" s="3" t="s">
        <v>11</v>
      </c>
      <c r="E14" s="7">
        <f>C14</f>
        <v>34909090.909090906</v>
      </c>
    </row>
    <row r="16" spans="1:12" x14ac:dyDescent="0.3">
      <c r="C16" s="8"/>
      <c r="E16" s="8"/>
    </row>
  </sheetData>
  <mergeCells count="7">
    <mergeCell ref="B13:C13"/>
    <mergeCell ref="D13:E13"/>
    <mergeCell ref="B2:C2"/>
    <mergeCell ref="D2:E2"/>
    <mergeCell ref="H2:L2"/>
    <mergeCell ref="B7:C7"/>
    <mergeCell ref="D7:E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7555A-6C92-49DC-9A6A-3B7B69E68370}">
  <dimension ref="A1:L22"/>
  <sheetViews>
    <sheetView zoomScale="90" zoomScaleNormal="90" workbookViewId="0">
      <selection activeCell="B27" sqref="B27"/>
    </sheetView>
  </sheetViews>
  <sheetFormatPr defaultRowHeight="15.6" x14ac:dyDescent="0.3"/>
  <cols>
    <col min="1" max="1" width="8.88671875" style="1"/>
    <col min="2" max="2" width="19.88671875" style="1" bestFit="1" customWidth="1"/>
    <col min="3" max="3" width="16.109375" style="7" bestFit="1" customWidth="1"/>
    <col min="4" max="4" width="25.44140625" style="1" bestFit="1" customWidth="1"/>
    <col min="5" max="5" width="20.5546875" style="7" bestFit="1" customWidth="1"/>
    <col min="6" max="16384" width="8.88671875" style="1"/>
  </cols>
  <sheetData>
    <row r="1" spans="1:12" ht="16.2" thickBot="1" x14ac:dyDescent="0.35">
      <c r="A1" s="1">
        <v>5</v>
      </c>
      <c r="B1" s="1">
        <v>90500000</v>
      </c>
      <c r="C1" s="7">
        <f>A1*B1</f>
        <v>452500000</v>
      </c>
    </row>
    <row r="2" spans="1:12" ht="16.2" thickBot="1" x14ac:dyDescent="0.35">
      <c r="B2" s="15" t="s">
        <v>0</v>
      </c>
      <c r="C2" s="16"/>
      <c r="D2" s="17" t="s">
        <v>1</v>
      </c>
      <c r="E2" s="18"/>
      <c r="H2" s="19" t="s">
        <v>4</v>
      </c>
      <c r="I2" s="19"/>
      <c r="J2" s="19"/>
      <c r="K2" s="19"/>
      <c r="L2" s="19"/>
    </row>
    <row r="3" spans="1:12" x14ac:dyDescent="0.3">
      <c r="B3" s="2" t="s">
        <v>11</v>
      </c>
      <c r="C3" s="7">
        <f>C1/1.1</f>
        <v>411363636.36363631</v>
      </c>
      <c r="D3" s="3" t="s">
        <v>23</v>
      </c>
      <c r="E3" s="7">
        <f>C1/2</f>
        <v>226250000</v>
      </c>
      <c r="H3" s="4" t="s">
        <v>5</v>
      </c>
      <c r="I3" s="5" t="s">
        <v>6</v>
      </c>
      <c r="J3" s="4" t="s">
        <v>7</v>
      </c>
      <c r="K3" s="6" t="s">
        <v>0</v>
      </c>
      <c r="L3" s="6" t="s">
        <v>1</v>
      </c>
    </row>
    <row r="4" spans="1:12" x14ac:dyDescent="0.3">
      <c r="B4" s="1" t="s">
        <v>12</v>
      </c>
      <c r="C4" s="7">
        <f>C1/11</f>
        <v>41136363.636363633</v>
      </c>
      <c r="D4" s="1" t="s">
        <v>13</v>
      </c>
      <c r="E4" s="7">
        <f>E3</f>
        <v>226250000</v>
      </c>
    </row>
    <row r="5" spans="1:12" x14ac:dyDescent="0.3">
      <c r="B5" s="1" t="s">
        <v>28</v>
      </c>
      <c r="C5" s="7">
        <f>E5</f>
        <v>14140625</v>
      </c>
      <c r="D5" s="1" t="s">
        <v>27</v>
      </c>
      <c r="E5" s="7">
        <f>E4*250*9/36000</f>
        <v>14140625</v>
      </c>
    </row>
    <row r="6" spans="1:12" x14ac:dyDescent="0.3">
      <c r="C6" s="8">
        <f>SUM(C3:C5)</f>
        <v>466640624.99999994</v>
      </c>
      <c r="E6" s="8">
        <f>SUM(E3:E5)</f>
        <v>466640625</v>
      </c>
    </row>
    <row r="7" spans="1:12" ht="16.2" thickBot="1" x14ac:dyDescent="0.35">
      <c r="A7" s="1" t="s">
        <v>15</v>
      </c>
    </row>
    <row r="8" spans="1:12" ht="16.2" thickBot="1" x14ac:dyDescent="0.35">
      <c r="B8" s="15" t="s">
        <v>0</v>
      </c>
      <c r="C8" s="16"/>
      <c r="D8" s="17" t="s">
        <v>1</v>
      </c>
      <c r="E8" s="18"/>
    </row>
    <row r="9" spans="1:12" x14ac:dyDescent="0.3">
      <c r="B9" s="2" t="s">
        <v>25</v>
      </c>
      <c r="C9" s="7">
        <f>98200000*4*0.6</f>
        <v>235680000</v>
      </c>
      <c r="D9" s="3" t="s">
        <v>29</v>
      </c>
      <c r="E9" s="7">
        <f>4*98200000/1.1</f>
        <v>357090909.09090906</v>
      </c>
    </row>
    <row r="10" spans="1:12" x14ac:dyDescent="0.3">
      <c r="B10" s="1" t="s">
        <v>23</v>
      </c>
      <c r="C10" s="7">
        <f>98200000*4*0.4</f>
        <v>157120000</v>
      </c>
      <c r="D10" s="1" t="s">
        <v>16</v>
      </c>
      <c r="E10" s="7">
        <f>4*98200000/11</f>
        <v>35709090.909090906</v>
      </c>
    </row>
    <row r="12" spans="1:12" x14ac:dyDescent="0.3">
      <c r="C12" s="7">
        <f>SUM(C9:C11)</f>
        <v>392800000</v>
      </c>
      <c r="E12" s="7">
        <f>SUM(E9:E11)</f>
        <v>392800000</v>
      </c>
    </row>
    <row r="15" spans="1:12" ht="16.2" thickBot="1" x14ac:dyDescent="0.35">
      <c r="A15" s="1" t="s">
        <v>18</v>
      </c>
    </row>
    <row r="16" spans="1:12" ht="16.2" thickBot="1" x14ac:dyDescent="0.35">
      <c r="B16" s="15" t="s">
        <v>0</v>
      </c>
      <c r="C16" s="16"/>
      <c r="D16" s="17" t="s">
        <v>1</v>
      </c>
      <c r="E16" s="18"/>
    </row>
    <row r="17" spans="2:5" x14ac:dyDescent="0.3">
      <c r="B17" s="2" t="s">
        <v>19</v>
      </c>
      <c r="C17" s="7">
        <f>4*C22</f>
        <v>329090909.09090906</v>
      </c>
      <c r="D17" s="3" t="s">
        <v>11</v>
      </c>
      <c r="E17" s="7">
        <f>4*C22</f>
        <v>329090909.09090906</v>
      </c>
    </row>
    <row r="19" spans="2:5" x14ac:dyDescent="0.3">
      <c r="B19" s="1" t="s">
        <v>10</v>
      </c>
      <c r="C19" s="7">
        <f>90500000/1.1</f>
        <v>82272727.272727266</v>
      </c>
    </row>
    <row r="22" spans="2:5" x14ac:dyDescent="0.3">
      <c r="B22" s="1" t="s">
        <v>10</v>
      </c>
      <c r="C22" s="7">
        <f>90500000/1.1</f>
        <v>82272727.272727266</v>
      </c>
    </row>
  </sheetData>
  <mergeCells count="7">
    <mergeCell ref="B16:C16"/>
    <mergeCell ref="D16:E16"/>
    <mergeCell ref="B2:C2"/>
    <mergeCell ref="D2:E2"/>
    <mergeCell ref="H2:L2"/>
    <mergeCell ref="B8:C8"/>
    <mergeCell ref="D8:E8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185B7-8C59-4CD3-BB12-70D1BF2777FA}">
  <dimension ref="B1:L16"/>
  <sheetViews>
    <sheetView workbookViewId="0">
      <selection activeCell="B21" sqref="B21"/>
    </sheetView>
  </sheetViews>
  <sheetFormatPr defaultRowHeight="15.6" x14ac:dyDescent="0.3"/>
  <cols>
    <col min="1" max="1" width="10.77734375" style="1" bestFit="1" customWidth="1"/>
    <col min="2" max="2" width="27.109375" style="1" bestFit="1" customWidth="1"/>
    <col min="3" max="3" width="14.88671875" style="7" bestFit="1" customWidth="1"/>
    <col min="4" max="4" width="24.77734375" style="1" bestFit="1" customWidth="1"/>
    <col min="5" max="5" width="14.88671875" style="7" bestFit="1" customWidth="1"/>
    <col min="6" max="16384" width="8.88671875" style="1"/>
  </cols>
  <sheetData>
    <row r="1" spans="2:12" ht="16.2" thickBot="1" x14ac:dyDescent="0.35"/>
    <row r="2" spans="2:12" ht="16.2" thickBot="1" x14ac:dyDescent="0.35">
      <c r="B2" s="15" t="s">
        <v>0</v>
      </c>
      <c r="C2" s="16"/>
      <c r="D2" s="17" t="s">
        <v>1</v>
      </c>
      <c r="E2" s="18"/>
      <c r="H2" s="19" t="s">
        <v>4</v>
      </c>
      <c r="I2" s="19"/>
      <c r="J2" s="19"/>
      <c r="K2" s="19"/>
      <c r="L2" s="19"/>
    </row>
    <row r="3" spans="2:12" x14ac:dyDescent="0.3">
      <c r="B3" s="2" t="s">
        <v>32</v>
      </c>
      <c r="C3" s="7">
        <v>6300000</v>
      </c>
      <c r="D3" s="3" t="s">
        <v>23</v>
      </c>
      <c r="E3" s="7">
        <f>C3*91%</f>
        <v>5733000</v>
      </c>
      <c r="H3" s="4" t="s">
        <v>5</v>
      </c>
      <c r="I3" s="5" t="s">
        <v>6</v>
      </c>
      <c r="J3" s="4" t="s">
        <v>7</v>
      </c>
      <c r="K3" s="6" t="s">
        <v>0</v>
      </c>
      <c r="L3" s="6" t="s">
        <v>1</v>
      </c>
    </row>
    <row r="4" spans="2:12" x14ac:dyDescent="0.3">
      <c r="B4" s="1" t="s">
        <v>31</v>
      </c>
      <c r="C4" s="7">
        <f>C3*16.5%</f>
        <v>1039500</v>
      </c>
      <c r="D4" s="1" t="s">
        <v>30</v>
      </c>
      <c r="E4" s="7">
        <f>C4+C3*9%</f>
        <v>1606500</v>
      </c>
    </row>
    <row r="5" spans="2:12" x14ac:dyDescent="0.3">
      <c r="C5" s="8">
        <f>SUM(C3:C4)</f>
        <v>7339500</v>
      </c>
      <c r="E5" s="8">
        <f>SUM(E3:E4)</f>
        <v>7339500</v>
      </c>
    </row>
    <row r="6" spans="2:12" ht="16.2" thickBot="1" x14ac:dyDescent="0.35"/>
    <row r="7" spans="2:12" ht="16.2" thickBot="1" x14ac:dyDescent="0.35">
      <c r="B7" s="15"/>
      <c r="C7" s="16"/>
      <c r="D7" s="17"/>
      <c r="E7" s="18"/>
    </row>
    <row r="8" spans="2:12" x14ac:dyDescent="0.3">
      <c r="B8" s="2"/>
      <c r="D8" s="3"/>
    </row>
    <row r="10" spans="2:12" x14ac:dyDescent="0.3">
      <c r="C10" s="8"/>
      <c r="E10" s="8"/>
    </row>
    <row r="12" spans="2:12" ht="16.2" thickBot="1" x14ac:dyDescent="0.35"/>
    <row r="13" spans="2:12" ht="16.2" thickBot="1" x14ac:dyDescent="0.35">
      <c r="B13" s="15"/>
      <c r="C13" s="16"/>
      <c r="D13" s="17"/>
      <c r="E13" s="18"/>
    </row>
    <row r="14" spans="2:12" x14ac:dyDescent="0.3">
      <c r="B14" s="2"/>
      <c r="D14" s="3"/>
    </row>
    <row r="16" spans="2:12" x14ac:dyDescent="0.3">
      <c r="C16" s="8"/>
      <c r="E16" s="8"/>
    </row>
  </sheetData>
  <mergeCells count="7">
    <mergeCell ref="B2:C2"/>
    <mergeCell ref="D2:E2"/>
    <mergeCell ref="H2:L2"/>
    <mergeCell ref="B7:C7"/>
    <mergeCell ref="D7:E7"/>
    <mergeCell ref="B13:C13"/>
    <mergeCell ref="D13:E1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BD6F-E5F8-46AC-BCCE-29727D229A6F}">
  <dimension ref="B1:L16"/>
  <sheetViews>
    <sheetView tabSelected="1" workbookViewId="0">
      <selection activeCell="B13" sqref="B13:C13"/>
    </sheetView>
  </sheetViews>
  <sheetFormatPr defaultRowHeight="15.6" x14ac:dyDescent="0.3"/>
  <cols>
    <col min="1" max="1" width="10.77734375" style="1" bestFit="1" customWidth="1"/>
    <col min="2" max="2" width="32.44140625" style="1" bestFit="1" customWidth="1"/>
    <col min="3" max="3" width="14.88671875" style="7" bestFit="1" customWidth="1"/>
    <col min="4" max="4" width="24.77734375" style="1" bestFit="1" customWidth="1"/>
    <col min="5" max="5" width="14.88671875" style="7" bestFit="1" customWidth="1"/>
    <col min="6" max="16384" width="8.88671875" style="1"/>
  </cols>
  <sheetData>
    <row r="1" spans="2:12" ht="16.2" thickBot="1" x14ac:dyDescent="0.35"/>
    <row r="2" spans="2:12" ht="16.2" thickBot="1" x14ac:dyDescent="0.35">
      <c r="B2" s="15" t="s">
        <v>0</v>
      </c>
      <c r="C2" s="16"/>
      <c r="D2" s="17" t="s">
        <v>1</v>
      </c>
      <c r="E2" s="18"/>
      <c r="H2" s="19" t="s">
        <v>4</v>
      </c>
      <c r="I2" s="19"/>
      <c r="J2" s="19"/>
      <c r="K2" s="19"/>
      <c r="L2" s="19"/>
    </row>
    <row r="3" spans="2:12" x14ac:dyDescent="0.3">
      <c r="B3" s="2" t="s">
        <v>33</v>
      </c>
      <c r="C3" s="7">
        <f>6300000/1.1</f>
        <v>5727272.7272727266</v>
      </c>
      <c r="D3" s="3" t="s">
        <v>23</v>
      </c>
      <c r="E3" s="7">
        <f>6300000</f>
        <v>6300000</v>
      </c>
      <c r="H3" s="4" t="s">
        <v>5</v>
      </c>
      <c r="I3" s="5" t="s">
        <v>6</v>
      </c>
      <c r="J3" s="4" t="s">
        <v>7</v>
      </c>
      <c r="K3" s="6" t="s">
        <v>0</v>
      </c>
      <c r="L3" s="6" t="s">
        <v>1</v>
      </c>
    </row>
    <row r="4" spans="2:12" x14ac:dyDescent="0.3">
      <c r="B4" s="1" t="s">
        <v>12</v>
      </c>
      <c r="C4" s="7">
        <f>6300000/11</f>
        <v>572727.27272727271</v>
      </c>
    </row>
    <row r="5" spans="2:12" x14ac:dyDescent="0.3">
      <c r="C5" s="8">
        <f>SUM(C3:C4)</f>
        <v>6299999.9999999991</v>
      </c>
      <c r="E5" s="8">
        <f>SUM(E3:E4)</f>
        <v>6300000</v>
      </c>
    </row>
    <row r="6" spans="2:12" ht="16.2" thickBot="1" x14ac:dyDescent="0.35"/>
    <row r="7" spans="2:12" ht="16.2" thickBot="1" x14ac:dyDescent="0.35">
      <c r="B7" s="15"/>
      <c r="C7" s="16"/>
      <c r="D7" s="17"/>
      <c r="E7" s="18"/>
    </row>
    <row r="8" spans="2:12" x14ac:dyDescent="0.3">
      <c r="B8" s="2"/>
      <c r="D8" s="3"/>
    </row>
    <row r="10" spans="2:12" x14ac:dyDescent="0.3">
      <c r="C10" s="8"/>
      <c r="E10" s="8"/>
    </row>
    <row r="12" spans="2:12" ht="16.2" thickBot="1" x14ac:dyDescent="0.35"/>
    <row r="13" spans="2:12" ht="16.2" thickBot="1" x14ac:dyDescent="0.35">
      <c r="B13" s="15"/>
      <c r="C13" s="16"/>
      <c r="D13" s="17"/>
      <c r="E13" s="18"/>
    </row>
    <row r="14" spans="2:12" x14ac:dyDescent="0.3">
      <c r="B14" s="2"/>
      <c r="D14" s="3"/>
    </row>
    <row r="16" spans="2:12" x14ac:dyDescent="0.3">
      <c r="C16" s="8"/>
      <c r="E16" s="8"/>
    </row>
  </sheetData>
  <mergeCells count="7">
    <mergeCell ref="B2:C2"/>
    <mergeCell ref="D2:E2"/>
    <mergeCell ref="H2:L2"/>
    <mergeCell ref="B7:C7"/>
    <mergeCell ref="D7:E7"/>
    <mergeCell ref="B13:C13"/>
    <mergeCell ref="D13:E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</vt:lpstr>
      <vt:lpstr>B</vt:lpstr>
      <vt:lpstr>C</vt:lpstr>
      <vt:lpstr>D</vt:lpstr>
      <vt:lpstr>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Lesme</dc:creator>
  <cp:lastModifiedBy>Gustavo Lesme</cp:lastModifiedBy>
  <dcterms:created xsi:type="dcterms:W3CDTF">2026-06-03T07:17:23Z</dcterms:created>
  <dcterms:modified xsi:type="dcterms:W3CDTF">2026-06-03T10:59:17Z</dcterms:modified>
</cp:coreProperties>
</file>