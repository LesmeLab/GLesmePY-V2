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8_{4CD35B96-DA7E-4FF2-A259-6A7282414D61}" xr6:coauthVersionLast="47" xr6:coauthVersionMax="47" xr10:uidLastSave="{00000000-0000-0000-0000-000000000000}"/>
  <bookViews>
    <workbookView xWindow="7524" yWindow="0" windowWidth="15516" windowHeight="12360" xr2:uid="{6ADD19E4-9B77-4578-8821-03C730911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8" i="1" l="1"/>
  <c r="K28" i="1"/>
  <c r="L27" i="1"/>
  <c r="K27" i="1"/>
  <c r="L26" i="1"/>
  <c r="K26" i="1"/>
  <c r="J26" i="1"/>
  <c r="M23" i="1"/>
  <c r="L22" i="1"/>
  <c r="J22" i="1"/>
  <c r="M19" i="1"/>
  <c r="M18" i="1"/>
  <c r="L17" i="1"/>
  <c r="K17" i="1"/>
  <c r="M13" i="1"/>
  <c r="M14" i="1"/>
  <c r="J17" i="1"/>
  <c r="L12" i="1"/>
  <c r="L11" i="1"/>
  <c r="J11" i="1"/>
  <c r="K4" i="1"/>
  <c r="J7" i="1"/>
  <c r="C35" i="1"/>
  <c r="C34" i="1"/>
  <c r="C36" i="1" l="1"/>
  <c r="E24" i="1"/>
  <c r="C24" i="1"/>
  <c r="C26" i="1" s="1"/>
  <c r="C30" i="1"/>
  <c r="E20" i="1"/>
  <c r="C20" i="1"/>
  <c r="E19" i="1"/>
  <c r="E18" i="1"/>
  <c r="C18" i="1"/>
  <c r="E14" i="1"/>
  <c r="C14" i="1"/>
  <c r="E13" i="1"/>
  <c r="E12" i="1"/>
  <c r="C13" i="1"/>
  <c r="C12" i="1"/>
  <c r="A11" i="1"/>
  <c r="E9" i="1"/>
  <c r="C9" i="1"/>
  <c r="C4" i="1"/>
  <c r="E4" i="1"/>
  <c r="E36" i="1" l="1"/>
  <c r="E26" i="1" l="1"/>
</calcChain>
</file>

<file path=xl/sharedStrings.xml><?xml version="1.0" encoding="utf-8"?>
<sst xmlns="http://schemas.openxmlformats.org/spreadsheetml/2006/main" count="60" uniqueCount="33">
  <si>
    <t>DEBE</t>
  </si>
  <si>
    <t>HABER</t>
  </si>
  <si>
    <t>FORMATO DEL LIBRO DIARIO</t>
  </si>
  <si>
    <t>NRO</t>
  </si>
  <si>
    <t>FECHA</t>
  </si>
  <si>
    <t>CUENTAS CONTABLES</t>
  </si>
  <si>
    <t xml:space="preserve">PASIVO </t>
  </si>
  <si>
    <t>PASIVO +PNETO</t>
  </si>
  <si>
    <t>ACTIVO</t>
  </si>
  <si>
    <t>INSUMOS</t>
  </si>
  <si>
    <t>BANCO CTA CTE</t>
  </si>
  <si>
    <t>PASIVO</t>
  </si>
  <si>
    <t>MERCADERIAS</t>
  </si>
  <si>
    <t>IVA CF 10%</t>
  </si>
  <si>
    <t>DOCUMENTOS A PAGAR</t>
  </si>
  <si>
    <t>VENTA</t>
  </si>
  <si>
    <t xml:space="preserve">BANCO CTA CTE </t>
  </si>
  <si>
    <t>VENTA DE MERCADERIAS</t>
  </si>
  <si>
    <t>IVA DF 10%</t>
  </si>
  <si>
    <t>COSTO DE VENTAS</t>
  </si>
  <si>
    <t>COSTO=UNID.VEND*PC S/IVA</t>
  </si>
  <si>
    <t>COSTO</t>
  </si>
  <si>
    <t>PC S/IVA</t>
  </si>
  <si>
    <t>PRECIO UNIT</t>
  </si>
  <si>
    <t>UNID.VEND</t>
  </si>
  <si>
    <t>HONORARIOS PROFESIONALES</t>
  </si>
  <si>
    <t>DEPOSITO EN BANCO</t>
  </si>
  <si>
    <t>COMPRA DE PRODUCTOS DE LIMPIEZA</t>
  </si>
  <si>
    <t>COMPRA DE MERCADERIAS</t>
  </si>
  <si>
    <t>IVA DF 105</t>
  </si>
  <si>
    <t>COSTO DE VENTA</t>
  </si>
  <si>
    <t>COSTEO DE VENTA</t>
  </si>
  <si>
    <t>PAGO DE HONORARIOS A 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</si>
</sst>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₲&quot;\ * #,##0_ ;_ &quot;₲&quot;\ * \-#,##0_ ;_ &quot;₲&quot;\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theme="1"/>
      <name val="Consolas"/>
      <family val="3"/>
    </font>
    <font>
      <b/>
      <sz val="12"/>
      <color theme="1"/>
      <name val="Aptos"/>
      <family val="2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42" fontId="2" fillId="0" borderId="0" xfId="1" applyFont="1"/>
    <xf numFmtId="0" fontId="3" fillId="3" borderId="6" xfId="0" applyFont="1" applyFill="1" applyBorder="1" applyAlignment="1">
      <alignment horizontal="center"/>
    </xf>
    <xf numFmtId="0" fontId="3" fillId="0" borderId="7" xfId="0" applyFont="1" applyBorder="1"/>
    <xf numFmtId="14" fontId="3" fillId="0" borderId="7" xfId="0" applyNumberFormat="1" applyFont="1" applyBorder="1"/>
    <xf numFmtId="42" fontId="3" fillId="0" borderId="7" xfId="1" applyFont="1" applyBorder="1"/>
    <xf numFmtId="42" fontId="0" fillId="0" borderId="0" xfId="1" applyFont="1"/>
    <xf numFmtId="0" fontId="2" fillId="2" borderId="1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0" borderId="0" xfId="2" applyFont="1"/>
    <xf numFmtId="0" fontId="2" fillId="0" borderId="5" xfId="2" applyFont="1" applyBorder="1"/>
    <xf numFmtId="0" fontId="4" fillId="0" borderId="0" xfId="0" applyFont="1"/>
    <xf numFmtId="42" fontId="4" fillId="0" borderId="0" xfId="1" applyFont="1"/>
    <xf numFmtId="0" fontId="2" fillId="0" borderId="0" xfId="0" applyFont="1"/>
    <xf numFmtId="16" fontId="0" fillId="0" borderId="0" xfId="0" applyNumberFormat="1"/>
    <xf numFmtId="0" fontId="5" fillId="0" borderId="0" xfId="0" applyFont="1"/>
    <xf numFmtId="0" fontId="0" fillId="4" borderId="0" xfId="0" applyFill="1"/>
    <xf numFmtId="42" fontId="0" fillId="4" borderId="0" xfId="1" applyFont="1" applyFill="1"/>
    <xf numFmtId="0" fontId="5" fillId="0" borderId="0" xfId="0" applyFont="1" applyAlignment="1">
      <alignment wrapText="1"/>
    </xf>
  </cellXfs>
  <cellStyles count="3">
    <cellStyle name="Currency [0]" xfId="1" builtinId="7"/>
    <cellStyle name="Normal" xfId="0" builtinId="0"/>
    <cellStyle name="Normal 2" xfId="2" xr:uid="{01BC67FA-1C35-42F7-907E-A4AE770213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902A-D729-47D6-A5D6-53F64BC6BAE7}">
  <dimension ref="A1:M36"/>
  <sheetViews>
    <sheetView tabSelected="1" zoomScale="70" zoomScaleNormal="70" workbookViewId="0">
      <selection activeCell="J20" sqref="J20"/>
    </sheetView>
  </sheetViews>
  <sheetFormatPr defaultRowHeight="15.6" x14ac:dyDescent="0.3"/>
  <cols>
    <col min="2" max="2" width="17.88671875" style="15" bestFit="1" customWidth="1"/>
    <col min="3" max="3" width="14.88671875" style="1" bestFit="1" customWidth="1"/>
    <col min="4" max="4" width="17.44140625" style="15" bestFit="1" customWidth="1"/>
    <col min="5" max="5" width="14.88671875" style="1" bestFit="1" customWidth="1"/>
    <col min="11" max="11" width="20.21875" bestFit="1" customWidth="1"/>
    <col min="12" max="12" width="13.5546875" style="6" bestFit="1" customWidth="1"/>
    <col min="13" max="13" width="12.44140625" style="6" bestFit="1" customWidth="1"/>
  </cols>
  <sheetData>
    <row r="1" spans="1:13" ht="16.2" thickBot="1" x14ac:dyDescent="0.35"/>
    <row r="2" spans="1:13" ht="16.2" thickBot="1" x14ac:dyDescent="0.35">
      <c r="B2" s="7" t="s">
        <v>0</v>
      </c>
      <c r="C2" s="8"/>
      <c r="D2" s="9" t="s">
        <v>1</v>
      </c>
      <c r="E2" s="10"/>
      <c r="I2" s="2" t="s">
        <v>2</v>
      </c>
      <c r="J2" s="2"/>
      <c r="K2" s="2"/>
      <c r="L2" s="2"/>
      <c r="M2" s="2"/>
    </row>
    <row r="3" spans="1:13" x14ac:dyDescent="0.3">
      <c r="B3" s="11" t="s">
        <v>10</v>
      </c>
      <c r="C3" s="1">
        <v>60000000</v>
      </c>
      <c r="D3" s="12" t="s">
        <v>6</v>
      </c>
      <c r="E3" s="1">
        <v>0</v>
      </c>
      <c r="I3" s="3" t="s">
        <v>3</v>
      </c>
      <c r="J3" s="4" t="s">
        <v>4</v>
      </c>
      <c r="K3" s="3" t="s">
        <v>5</v>
      </c>
      <c r="L3" s="5" t="s">
        <v>0</v>
      </c>
      <c r="M3" s="5" t="s">
        <v>1</v>
      </c>
    </row>
    <row r="4" spans="1:13" x14ac:dyDescent="0.3">
      <c r="B4" s="13" t="s">
        <v>8</v>
      </c>
      <c r="C4" s="14">
        <f>C3</f>
        <v>60000000</v>
      </c>
      <c r="D4" s="13" t="s">
        <v>7</v>
      </c>
      <c r="E4" s="14">
        <f>E3+C3</f>
        <v>60000000</v>
      </c>
      <c r="I4">
        <v>1</v>
      </c>
      <c r="J4" s="16">
        <v>46174</v>
      </c>
      <c r="K4" t="str">
        <f>K8</f>
        <v>BANCO CTA CTE</v>
      </c>
      <c r="L4" s="6">
        <v>60000000</v>
      </c>
    </row>
    <row r="5" spans="1:13" x14ac:dyDescent="0.3">
      <c r="K5" s="17" t="s">
        <v>26</v>
      </c>
    </row>
    <row r="6" spans="1:13" ht="16.2" thickBot="1" x14ac:dyDescent="0.35">
      <c r="I6" s="18"/>
      <c r="J6" s="18"/>
      <c r="K6" s="18"/>
      <c r="L6" s="19"/>
      <c r="M6" s="19"/>
    </row>
    <row r="7" spans="1:13" ht="16.2" thickBot="1" x14ac:dyDescent="0.35">
      <c r="B7" s="7" t="s">
        <v>0</v>
      </c>
      <c r="C7" s="8"/>
      <c r="D7" s="9" t="s">
        <v>1</v>
      </c>
      <c r="E7" s="10"/>
      <c r="I7">
        <v>2</v>
      </c>
      <c r="J7" s="16">
        <f>J4</f>
        <v>46174</v>
      </c>
      <c r="K7" t="s">
        <v>9</v>
      </c>
      <c r="L7" s="6">
        <v>630000</v>
      </c>
    </row>
    <row r="8" spans="1:13" x14ac:dyDescent="0.3">
      <c r="B8" s="11" t="s">
        <v>9</v>
      </c>
      <c r="C8" s="1">
        <v>630000</v>
      </c>
      <c r="D8" s="12" t="s">
        <v>10</v>
      </c>
      <c r="E8" s="1">
        <v>630000</v>
      </c>
      <c r="K8" t="s">
        <v>10</v>
      </c>
      <c r="M8" s="6">
        <v>630000</v>
      </c>
    </row>
    <row r="9" spans="1:13" ht="43.2" x14ac:dyDescent="0.3">
      <c r="B9" s="13" t="s">
        <v>8</v>
      </c>
      <c r="C9" s="14">
        <f>C8</f>
        <v>630000</v>
      </c>
      <c r="D9" s="13" t="s">
        <v>11</v>
      </c>
      <c r="E9" s="14">
        <f>E8</f>
        <v>630000</v>
      </c>
      <c r="K9" s="20" t="s">
        <v>27</v>
      </c>
    </row>
    <row r="10" spans="1:13" ht="16.2" thickBot="1" x14ac:dyDescent="0.35">
      <c r="I10" s="18"/>
      <c r="J10" s="18"/>
      <c r="K10" s="18"/>
      <c r="L10" s="19"/>
      <c r="M10" s="19"/>
    </row>
    <row r="11" spans="1:13" ht="16.2" thickBot="1" x14ac:dyDescent="0.35">
      <c r="A11">
        <f>6*1100000</f>
        <v>6600000</v>
      </c>
      <c r="B11" s="7" t="s">
        <v>0</v>
      </c>
      <c r="C11" s="8"/>
      <c r="D11" s="9" t="s">
        <v>1</v>
      </c>
      <c r="E11" s="10"/>
      <c r="I11">
        <v>3</v>
      </c>
      <c r="J11" s="16">
        <f>J7</f>
        <v>46174</v>
      </c>
      <c r="K11" t="s">
        <v>12</v>
      </c>
      <c r="L11" s="6">
        <f>C12</f>
        <v>5999999.9999999991</v>
      </c>
    </row>
    <row r="12" spans="1:13" x14ac:dyDescent="0.3">
      <c r="B12" s="11" t="s">
        <v>12</v>
      </c>
      <c r="C12" s="1">
        <f>A11/1.1</f>
        <v>5999999.9999999991</v>
      </c>
      <c r="D12" s="12" t="s">
        <v>10</v>
      </c>
      <c r="E12" s="1">
        <f>A11*50%</f>
        <v>3300000</v>
      </c>
      <c r="K12" t="s">
        <v>13</v>
      </c>
      <c r="L12" s="6">
        <f>C13</f>
        <v>600000</v>
      </c>
    </row>
    <row r="13" spans="1:13" x14ac:dyDescent="0.3">
      <c r="B13" s="15" t="s">
        <v>13</v>
      </c>
      <c r="C13" s="1">
        <f>A11/11</f>
        <v>600000</v>
      </c>
      <c r="D13" s="15" t="s">
        <v>14</v>
      </c>
      <c r="E13" s="1">
        <f>E12</f>
        <v>3300000</v>
      </c>
      <c r="K13" t="s">
        <v>10</v>
      </c>
      <c r="M13" s="6">
        <f>E12</f>
        <v>3300000</v>
      </c>
    </row>
    <row r="14" spans="1:13" x14ac:dyDescent="0.3">
      <c r="C14" s="14">
        <f>SUM(C12:C13)</f>
        <v>6599999.9999999991</v>
      </c>
      <c r="E14" s="14">
        <f>SUM(E12:E13)</f>
        <v>6600000</v>
      </c>
      <c r="K14" t="s">
        <v>14</v>
      </c>
      <c r="M14" s="6">
        <f>E13</f>
        <v>3300000</v>
      </c>
    </row>
    <row r="15" spans="1:13" ht="28.8" x14ac:dyDescent="0.3">
      <c r="K15" s="20" t="s">
        <v>28</v>
      </c>
    </row>
    <row r="16" spans="1:13" ht="16.2" thickBot="1" x14ac:dyDescent="0.35">
      <c r="I16" s="18"/>
      <c r="J16" s="18"/>
      <c r="K16" s="18"/>
      <c r="L16" s="19"/>
      <c r="M16" s="19"/>
    </row>
    <row r="17" spans="1:13" ht="16.2" thickBot="1" x14ac:dyDescent="0.35">
      <c r="A17" t="s">
        <v>15</v>
      </c>
      <c r="B17" s="7" t="s">
        <v>0</v>
      </c>
      <c r="C17" s="8"/>
      <c r="D17" s="9" t="s">
        <v>1</v>
      </c>
      <c r="E17" s="10"/>
      <c r="I17">
        <v>4</v>
      </c>
      <c r="J17" s="16">
        <f>J11</f>
        <v>46174</v>
      </c>
      <c r="K17" t="str">
        <f>K13</f>
        <v>BANCO CTA CTE</v>
      </c>
      <c r="L17" s="6">
        <f>C18</f>
        <v>3900000</v>
      </c>
    </row>
    <row r="18" spans="1:13" x14ac:dyDescent="0.3">
      <c r="B18" s="11" t="s">
        <v>16</v>
      </c>
      <c r="C18" s="1">
        <f>1300000*3</f>
        <v>3900000</v>
      </c>
      <c r="D18" s="12" t="s">
        <v>17</v>
      </c>
      <c r="E18" s="1">
        <f>C18/1.1</f>
        <v>3545454.5454545449</v>
      </c>
      <c r="K18" t="s">
        <v>17</v>
      </c>
      <c r="M18" s="6">
        <f>E18</f>
        <v>3545454.5454545449</v>
      </c>
    </row>
    <row r="19" spans="1:13" x14ac:dyDescent="0.3">
      <c r="D19" s="15" t="s">
        <v>18</v>
      </c>
      <c r="E19" s="1">
        <f>C18/11</f>
        <v>354545.45454545453</v>
      </c>
      <c r="K19" t="s">
        <v>29</v>
      </c>
      <c r="M19" s="6">
        <f>E19</f>
        <v>354545.45454545453</v>
      </c>
    </row>
    <row r="20" spans="1:13" ht="28.8" x14ac:dyDescent="0.3">
      <c r="C20" s="14">
        <f>SUM(C18:C19)</f>
        <v>3900000</v>
      </c>
      <c r="E20" s="14">
        <f>SUM(E18:E19)</f>
        <v>3899999.9999999995</v>
      </c>
      <c r="K20" s="20" t="s">
        <v>17</v>
      </c>
    </row>
    <row r="21" spans="1:13" x14ac:dyDescent="0.3">
      <c r="I21" s="18"/>
      <c r="J21" s="18"/>
      <c r="K21" s="18"/>
      <c r="L21" s="19"/>
      <c r="M21" s="19"/>
    </row>
    <row r="22" spans="1:13" ht="16.2" thickBot="1" x14ac:dyDescent="0.35">
      <c r="I22">
        <v>5</v>
      </c>
      <c r="J22" s="16">
        <f>J17</f>
        <v>46174</v>
      </c>
      <c r="K22" t="s">
        <v>30</v>
      </c>
      <c r="L22" s="6">
        <f>C24</f>
        <v>2999999.9999999995</v>
      </c>
    </row>
    <row r="23" spans="1:13" ht="16.2" thickBot="1" x14ac:dyDescent="0.35">
      <c r="A23" t="s">
        <v>21</v>
      </c>
      <c r="B23" s="7" t="s">
        <v>0</v>
      </c>
      <c r="C23" s="8"/>
      <c r="D23" s="9" t="s">
        <v>1</v>
      </c>
      <c r="E23" s="10"/>
      <c r="K23" t="s">
        <v>12</v>
      </c>
      <c r="M23" s="6">
        <f>L22</f>
        <v>2999999.9999999995</v>
      </c>
    </row>
    <row r="24" spans="1:13" x14ac:dyDescent="0.3">
      <c r="B24" s="11" t="s">
        <v>19</v>
      </c>
      <c r="C24" s="1">
        <f>C29*C30</f>
        <v>2999999.9999999995</v>
      </c>
      <c r="D24" s="12" t="s">
        <v>12</v>
      </c>
      <c r="E24" s="1">
        <f>C24</f>
        <v>2999999.9999999995</v>
      </c>
      <c r="K24" s="17" t="s">
        <v>31</v>
      </c>
    </row>
    <row r="25" spans="1:13" x14ac:dyDescent="0.3">
      <c r="I25" s="18"/>
      <c r="J25" s="18"/>
      <c r="K25" s="18"/>
      <c r="L25" s="19"/>
      <c r="M25" s="19"/>
    </row>
    <row r="26" spans="1:13" x14ac:dyDescent="0.3">
      <c r="C26" s="14">
        <f>SUM(C24:C25)</f>
        <v>2999999.9999999995</v>
      </c>
      <c r="E26" s="14">
        <f>SUM(E24:E25)</f>
        <v>2999999.9999999995</v>
      </c>
      <c r="I26">
        <v>6</v>
      </c>
      <c r="J26" s="16">
        <f>J22</f>
        <v>46174</v>
      </c>
      <c r="K26" t="str">
        <f>B34</f>
        <v>HONORARIOS PROFESIONALES</v>
      </c>
      <c r="L26" s="6">
        <f>C34</f>
        <v>2409090.9090909087</v>
      </c>
    </row>
    <row r="27" spans="1:13" x14ac:dyDescent="0.3">
      <c r="K27" t="str">
        <f>B35</f>
        <v>IVA CF 10%</v>
      </c>
      <c r="L27" s="6">
        <f>C35</f>
        <v>240909.09090909091</v>
      </c>
    </row>
    <row r="28" spans="1:13" x14ac:dyDescent="0.3">
      <c r="B28" s="15" t="s">
        <v>20</v>
      </c>
      <c r="K28" t="str">
        <f>D34</f>
        <v>BANCO CTA CTE</v>
      </c>
      <c r="M28" s="6">
        <f>E34</f>
        <v>2650000</v>
      </c>
    </row>
    <row r="29" spans="1:13" ht="43.2" x14ac:dyDescent="0.3">
      <c r="B29" s="15" t="s">
        <v>24</v>
      </c>
      <c r="C29" s="1">
        <v>3</v>
      </c>
      <c r="K29" s="20" t="s">
        <v>32</v>
      </c>
    </row>
    <row r="30" spans="1:13" x14ac:dyDescent="0.3">
      <c r="B30" s="15" t="s">
        <v>22</v>
      </c>
      <c r="C30" s="1">
        <f>E30/1.1</f>
        <v>999999.99999999988</v>
      </c>
      <c r="D30" s="15" t="s">
        <v>23</v>
      </c>
      <c r="E30" s="1">
        <v>1100000</v>
      </c>
      <c r="I30" s="18"/>
      <c r="J30" s="18"/>
      <c r="K30" s="18"/>
      <c r="L30" s="19"/>
      <c r="M30" s="19"/>
    </row>
    <row r="32" spans="1:13" ht="16.2" thickBot="1" x14ac:dyDescent="0.35"/>
    <row r="33" spans="2:5" ht="16.2" thickBot="1" x14ac:dyDescent="0.35">
      <c r="B33" s="7" t="s">
        <v>0</v>
      </c>
      <c r="C33" s="8"/>
      <c r="D33" s="9" t="s">
        <v>1</v>
      </c>
      <c r="E33" s="10"/>
    </row>
    <row r="34" spans="2:5" x14ac:dyDescent="0.3">
      <c r="B34" s="11" t="s">
        <v>25</v>
      </c>
      <c r="C34" s="1">
        <f>2650000/1.1</f>
        <v>2409090.9090909087</v>
      </c>
      <c r="D34" s="12" t="s">
        <v>10</v>
      </c>
      <c r="E34" s="1">
        <v>2650000</v>
      </c>
    </row>
    <row r="35" spans="2:5" x14ac:dyDescent="0.3">
      <c r="B35" s="15" t="s">
        <v>13</v>
      </c>
      <c r="C35" s="1">
        <f>2650000/11</f>
        <v>240909.09090909091</v>
      </c>
    </row>
    <row r="36" spans="2:5" x14ac:dyDescent="0.3">
      <c r="C36" s="14">
        <f>SUM(C34:C35)</f>
        <v>2649999.9999999995</v>
      </c>
      <c r="E36" s="14">
        <f>SUM(E34:E35)</f>
        <v>2650000</v>
      </c>
    </row>
  </sheetData>
  <mergeCells count="13">
    <mergeCell ref="B17:C17"/>
    <mergeCell ref="D17:E17"/>
    <mergeCell ref="B23:C23"/>
    <mergeCell ref="D23:E23"/>
    <mergeCell ref="B33:C33"/>
    <mergeCell ref="D33:E33"/>
    <mergeCell ref="B2:C2"/>
    <mergeCell ref="D2:E2"/>
    <mergeCell ref="I2:M2"/>
    <mergeCell ref="B7:C7"/>
    <mergeCell ref="D7:E7"/>
    <mergeCell ref="B11:C11"/>
    <mergeCell ref="D11:E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2026-06-03T04:41:50Z</dcterms:created>
  <dcterms:modified xsi:type="dcterms:W3CDTF">2026-06-03T05:14:23Z</dcterms:modified>
</cp:coreProperties>
</file>