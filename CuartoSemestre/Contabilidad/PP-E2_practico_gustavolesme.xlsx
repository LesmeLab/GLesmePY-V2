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58FF3E81-0BB7-4187-8799-FEE72D5B1661}" xr6:coauthVersionLast="47" xr6:coauthVersionMax="47" xr10:uidLastSave="{00000000-0000-0000-0000-000000000000}"/>
  <bookViews>
    <workbookView xWindow="2304" yWindow="2304" windowWidth="17280" windowHeight="8964" xr2:uid="{C3DE06AD-A6A4-4D87-9A38-8E84D10F8F34}"/>
  </bookViews>
  <sheets>
    <sheet name="PP-E2_practico_gustavoles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  <c r="E14" i="1"/>
  <c r="C14" i="1"/>
  <c r="C18" i="1" s="1"/>
  <c r="E16" i="1" s="1"/>
  <c r="C20" i="1" s="1"/>
  <c r="C13" i="1"/>
  <c r="E18" i="1" l="1"/>
</calcChain>
</file>

<file path=xl/sharedStrings.xml><?xml version="1.0" encoding="utf-8"?>
<sst xmlns="http://schemas.openxmlformats.org/spreadsheetml/2006/main" count="21" uniqueCount="19">
  <si>
    <t xml:space="preserve">Halla el Patrimonio Neto de las siguientes empresas. </t>
  </si>
  <si>
    <t>(40 puntos; en cada ejercicio se evaluará: 5 puntos clasificación correcta de elementos patrimoniales, 5 puntos uso correcto de cuentas contables, 5 puntos uso y verificación de la ecuación patrimonial, 5 puntos demostración del equilibrio contable).</t>
  </si>
  <si>
    <t>Damaris Muñíz, se dedicará al Diseño, Desarrollo e Implementación de Sistemas Integrados a la Inteligencia Artificial para las industrias, inicia sus operaciones comerciales con los siguientes bienes patrimoniales:</t>
  </si>
  <si>
    <t>Dinero en el Banco Itaú en cuenta corriente: Gs. 30.000.000</t>
  </si>
  <si>
    <t>Mobiliarios de su oficina: Gs. 1.200.000. IVA Incluido del 10%</t>
  </si>
  <si>
    <t>Computadora DELL: Gs. 8.500.000 IVA Incluido del 10%</t>
  </si>
  <si>
    <t>Préstamo solicitado al Banco Itaú con firma de pagaré: Gs. 15.500.000 </t>
  </si>
  <si>
    <t>DEBE</t>
  </si>
  <si>
    <t>HABER</t>
  </si>
  <si>
    <t>BANCO XX CTA.CTE</t>
  </si>
  <si>
    <t>PRESTAMOS BANCARIOS</t>
  </si>
  <si>
    <t>MUEBLES Y UTILES</t>
  </si>
  <si>
    <t>IVA CF 10%</t>
  </si>
  <si>
    <t>TOTAL PASIVO</t>
  </si>
  <si>
    <t>EQUIPO DE INFORMATICA</t>
  </si>
  <si>
    <t>CAPITAL</t>
  </si>
  <si>
    <t>TOTAL ACTIVO</t>
  </si>
  <si>
    <t>PASIVO + P.NETO</t>
  </si>
  <si>
    <t>PATRIMONIO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</si>
</sst>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6090E"/>
      <name val="Segoe UI"/>
      <family val="2"/>
    </font>
    <font>
      <i/>
      <sz val="10"/>
      <color rgb="FF06090E"/>
      <name val="Segoe UI"/>
      <family val="2"/>
    </font>
    <font>
      <sz val="10"/>
      <color rgb="FF06090E"/>
      <name val="Segoe U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2" fontId="0" fillId="0" borderId="4" xfId="1" applyFont="1" applyBorder="1"/>
    <xf numFmtId="42" fontId="0" fillId="0" borderId="5" xfId="1" applyFont="1" applyBorder="1"/>
    <xf numFmtId="42" fontId="0" fillId="0" borderId="6" xfId="1" applyFont="1" applyBorder="1"/>
    <xf numFmtId="0" fontId="2" fillId="0" borderId="0" xfId="0" applyFont="1"/>
    <xf numFmtId="42" fontId="2" fillId="0" borderId="5" xfId="1" applyFont="1" applyBorder="1"/>
    <xf numFmtId="42" fontId="2" fillId="0" borderId="0" xfId="1" applyFont="1" applyBorder="1"/>
    <xf numFmtId="42" fontId="2" fillId="0" borderId="6" xfId="1" applyFont="1" applyBorder="1"/>
    <xf numFmtId="42" fontId="2" fillId="0" borderId="0" xfId="0" applyNumberFormat="1" applyFont="1"/>
    <xf numFmtId="0" fontId="6" fillId="0" borderId="0" xfId="0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9A64-7E39-4039-A264-6149AF4F2016}">
  <dimension ref="A2:E20"/>
  <sheetViews>
    <sheetView tabSelected="1" topLeftCell="A7" workbookViewId="0">
      <selection activeCell="B12" sqref="B12"/>
    </sheetView>
  </sheetViews>
  <sheetFormatPr defaultRowHeight="14.4" x14ac:dyDescent="0.3"/>
  <cols>
    <col min="2" max="2" width="22.77734375" bestFit="1" customWidth="1"/>
    <col min="3" max="3" width="12.6640625" bestFit="1" customWidth="1"/>
    <col min="4" max="4" width="21.44140625" bestFit="1" customWidth="1"/>
    <col min="5" max="5" width="12.6640625" bestFit="1" customWidth="1"/>
  </cols>
  <sheetData>
    <row r="2" spans="1:5" ht="15" x14ac:dyDescent="0.35">
      <c r="A2" s="1" t="s">
        <v>0</v>
      </c>
    </row>
    <row r="3" spans="1:5" ht="15" x14ac:dyDescent="0.35">
      <c r="A3" s="1" t="s">
        <v>1</v>
      </c>
    </row>
    <row r="4" spans="1:5" ht="15" x14ac:dyDescent="0.35">
      <c r="A4" s="1"/>
    </row>
    <row r="5" spans="1:5" ht="15" x14ac:dyDescent="0.35">
      <c r="A5" s="2" t="s">
        <v>2</v>
      </c>
    </row>
    <row r="6" spans="1:5" ht="15" x14ac:dyDescent="0.35">
      <c r="A6" s="3" t="s">
        <v>3</v>
      </c>
    </row>
    <row r="7" spans="1:5" ht="15" x14ac:dyDescent="0.35">
      <c r="A7" s="3" t="s">
        <v>4</v>
      </c>
    </row>
    <row r="8" spans="1:5" ht="15" x14ac:dyDescent="0.35">
      <c r="A8" s="3" t="s">
        <v>5</v>
      </c>
    </row>
    <row r="9" spans="1:5" ht="15" x14ac:dyDescent="0.35">
      <c r="A9" s="3" t="s">
        <v>6</v>
      </c>
    </row>
    <row r="11" spans="1:5" x14ac:dyDescent="0.3">
      <c r="B11" s="4" t="s">
        <v>7</v>
      </c>
      <c r="C11" s="5"/>
      <c r="D11" s="4" t="s">
        <v>8</v>
      </c>
      <c r="E11" s="6"/>
    </row>
    <row r="12" spans="1:5" x14ac:dyDescent="0.3">
      <c r="B12" t="s">
        <v>9</v>
      </c>
      <c r="C12" s="7">
        <v>30000000</v>
      </c>
      <c r="D12" t="s">
        <v>10</v>
      </c>
      <c r="E12" s="8">
        <v>15500000</v>
      </c>
    </row>
    <row r="13" spans="1:5" x14ac:dyDescent="0.3">
      <c r="B13" t="s">
        <v>11</v>
      </c>
      <c r="C13" s="9">
        <f>1200000/1.1</f>
        <v>1090909.0909090908</v>
      </c>
      <c r="E13" s="8"/>
    </row>
    <row r="14" spans="1:5" x14ac:dyDescent="0.3">
      <c r="B14" t="s">
        <v>12</v>
      </c>
      <c r="C14" s="9">
        <f>1200000/11</f>
        <v>109090.90909090909</v>
      </c>
      <c r="D14" s="10" t="s">
        <v>13</v>
      </c>
      <c r="E14" s="11">
        <f>E12</f>
        <v>15500000</v>
      </c>
    </row>
    <row r="15" spans="1:5" x14ac:dyDescent="0.3">
      <c r="B15" t="s">
        <v>14</v>
      </c>
      <c r="C15" s="9">
        <f>8500000/1.1</f>
        <v>7727272.7272727266</v>
      </c>
      <c r="D15" s="10"/>
      <c r="E15" s="12"/>
    </row>
    <row r="16" spans="1:5" x14ac:dyDescent="0.3">
      <c r="B16" t="s">
        <v>12</v>
      </c>
      <c r="C16" s="9">
        <f>8500000/11</f>
        <v>772727.27272727271</v>
      </c>
      <c r="D16" s="10" t="s">
        <v>15</v>
      </c>
      <c r="E16" s="12">
        <f>C18-E14</f>
        <v>39700000</v>
      </c>
    </row>
    <row r="17" spans="2:5" x14ac:dyDescent="0.3">
      <c r="B17" t="s">
        <v>9</v>
      </c>
      <c r="C17" s="9">
        <v>15500000</v>
      </c>
      <c r="D17" s="10"/>
      <c r="E17" s="12"/>
    </row>
    <row r="18" spans="2:5" x14ac:dyDescent="0.3">
      <c r="B18" s="10" t="s">
        <v>16</v>
      </c>
      <c r="C18" s="13">
        <f>SUM(C12:C17)</f>
        <v>55200000</v>
      </c>
      <c r="D18" s="10" t="s">
        <v>17</v>
      </c>
      <c r="E18" s="14">
        <f>SUM(E14:E16)</f>
        <v>55200000</v>
      </c>
    </row>
    <row r="20" spans="2:5" x14ac:dyDescent="0.3">
      <c r="B20" s="15" t="s">
        <v>18</v>
      </c>
      <c r="C20" s="14">
        <f>E16</f>
        <v>39700000</v>
      </c>
    </row>
  </sheetData>
  <mergeCells count="2">
    <mergeCell ref="B11:C11"/>
    <mergeCell ref="D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PP-E2_practico_gustavolesme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2026-04-15T14:09:34Z</dcterms:created>
  <dcterms:modified xsi:type="dcterms:W3CDTF">2026-04-15T14:12:02Z</dcterms:modified>
</cp:coreProperties>
</file>