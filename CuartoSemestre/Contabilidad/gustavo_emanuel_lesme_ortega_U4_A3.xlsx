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B:\IIN\4Sem\Repositorio\GLesmePY-V2\CuartoSemestre\Contabilidad\"/>
    </mc:Choice>
  </mc:AlternateContent>
  <xr:revisionPtr revIDLastSave="0" documentId="13_ncr:1_{5EC818E2-B48C-41C2-A41F-2318063A5A55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LIBRO DIARIO" sheetId="1" r:id="rId1"/>
    <sheet name="LIBRO MAYOR" sheetId="2" r:id="rId2"/>
    <sheet name="BG _ER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" i="3" l="1"/>
  <c r="D28" i="3"/>
  <c r="G23" i="3"/>
  <c r="G14" i="3"/>
  <c r="J22" i="3"/>
  <c r="J23" i="3" s="1"/>
  <c r="H24" i="3"/>
  <c r="I24" i="3"/>
  <c r="C24" i="3"/>
  <c r="D24" i="3"/>
  <c r="E24" i="3"/>
  <c r="F24" i="3"/>
  <c r="I18" i="3"/>
  <c r="I22" i="3" s="1"/>
  <c r="H22" i="3"/>
  <c r="G22" i="3"/>
  <c r="H17" i="3"/>
  <c r="H16" i="3"/>
  <c r="J15" i="3"/>
  <c r="G13" i="3"/>
  <c r="H12" i="3"/>
  <c r="I11" i="3"/>
  <c r="H10" i="3"/>
  <c r="G9" i="3"/>
  <c r="G8" i="3"/>
  <c r="H7" i="3"/>
  <c r="G6" i="3"/>
  <c r="G5" i="3"/>
  <c r="F10" i="3"/>
  <c r="E9" i="3"/>
  <c r="E8" i="3"/>
  <c r="F7" i="3"/>
  <c r="E6" i="3"/>
  <c r="E5" i="3"/>
  <c r="D22" i="3"/>
  <c r="C22" i="3"/>
  <c r="E18" i="3"/>
  <c r="C18" i="3"/>
  <c r="B18" i="3"/>
  <c r="F17" i="3"/>
  <c r="D17" i="3"/>
  <c r="B17" i="3"/>
  <c r="F16" i="3"/>
  <c r="D16" i="3"/>
  <c r="B16" i="3"/>
  <c r="F15" i="3"/>
  <c r="D15" i="3"/>
  <c r="B15" i="3"/>
  <c r="E14" i="3"/>
  <c r="C14" i="3"/>
  <c r="B14" i="3"/>
  <c r="E13" i="3"/>
  <c r="C13" i="3"/>
  <c r="B13" i="3"/>
  <c r="E12" i="3"/>
  <c r="C12" i="3"/>
  <c r="B12" i="3"/>
  <c r="E11" i="3"/>
  <c r="C11" i="3"/>
  <c r="B11" i="3"/>
  <c r="D10" i="3"/>
  <c r="B10" i="3"/>
  <c r="C9" i="3"/>
  <c r="D8" i="3"/>
  <c r="C8" i="3"/>
  <c r="D7" i="3"/>
  <c r="D6" i="3"/>
  <c r="C6" i="3"/>
  <c r="D112" i="2"/>
  <c r="F112" i="2"/>
  <c r="F109" i="2"/>
  <c r="F104" i="2"/>
  <c r="E104" i="2"/>
  <c r="F96" i="2"/>
  <c r="E96" i="2"/>
  <c r="F88" i="2"/>
  <c r="E88" i="2"/>
  <c r="D88" i="2"/>
  <c r="F80" i="2"/>
  <c r="D80" i="2"/>
  <c r="F72" i="2"/>
  <c r="D72" i="2"/>
  <c r="F64" i="2"/>
  <c r="D64" i="2"/>
  <c r="F56" i="2"/>
  <c r="D56" i="2"/>
  <c r="F48" i="2"/>
  <c r="E48" i="2"/>
  <c r="D40" i="2"/>
  <c r="E32" i="2"/>
  <c r="D32" i="2"/>
  <c r="F24" i="2"/>
  <c r="E24" i="2"/>
  <c r="E17" i="2"/>
  <c r="D17" i="2"/>
  <c r="B6" i="3"/>
  <c r="D5" i="3"/>
  <c r="C5" i="3"/>
  <c r="E8" i="2"/>
  <c r="D8" i="2"/>
  <c r="A109" i="2"/>
  <c r="B109" i="2"/>
  <c r="C109" i="2"/>
  <c r="D109" i="2"/>
  <c r="F101" i="2"/>
  <c r="A101" i="2"/>
  <c r="B101" i="2"/>
  <c r="C101" i="2"/>
  <c r="E101" i="2"/>
  <c r="F93" i="2"/>
  <c r="B93" i="2"/>
  <c r="C93" i="2"/>
  <c r="E93" i="2"/>
  <c r="B85" i="2"/>
  <c r="C85" i="2"/>
  <c r="F85" i="2"/>
  <c r="E85" i="2"/>
  <c r="B77" i="2"/>
  <c r="C77" i="2"/>
  <c r="D77" i="2"/>
  <c r="F77" i="2" s="1"/>
  <c r="F69" i="2"/>
  <c r="C69" i="2"/>
  <c r="B69" i="2"/>
  <c r="D69" i="2"/>
  <c r="F61" i="2"/>
  <c r="A61" i="2"/>
  <c r="B61" i="2"/>
  <c r="C61" i="2"/>
  <c r="D61" i="2"/>
  <c r="F53" i="2"/>
  <c r="C53" i="2"/>
  <c r="D53" i="2"/>
  <c r="F45" i="2"/>
  <c r="C45" i="2"/>
  <c r="E45" i="2"/>
  <c r="F39" i="2"/>
  <c r="F38" i="2"/>
  <c r="F37" i="2"/>
  <c r="B39" i="2"/>
  <c r="C39" i="2"/>
  <c r="D39" i="2"/>
  <c r="A38" i="2"/>
  <c r="B38" i="2"/>
  <c r="C38" i="2"/>
  <c r="D38" i="2"/>
  <c r="C37" i="2"/>
  <c r="D37" i="2"/>
  <c r="F30" i="2"/>
  <c r="F29" i="2"/>
  <c r="A30" i="2"/>
  <c r="B30" i="2"/>
  <c r="C30" i="2"/>
  <c r="E30" i="2"/>
  <c r="A29" i="2"/>
  <c r="B29" i="2"/>
  <c r="C29" i="2"/>
  <c r="D29" i="2"/>
  <c r="F21" i="2"/>
  <c r="B21" i="2"/>
  <c r="C21" i="2"/>
  <c r="E21" i="2"/>
  <c r="F16" i="2"/>
  <c r="F15" i="2"/>
  <c r="F14" i="2"/>
  <c r="F13" i="2"/>
  <c r="A16" i="2"/>
  <c r="B16" i="2"/>
  <c r="C16" i="2"/>
  <c r="D16" i="2"/>
  <c r="A15" i="2"/>
  <c r="B15" i="2"/>
  <c r="C15" i="2"/>
  <c r="E15" i="2"/>
  <c r="B14" i="2"/>
  <c r="C14" i="2"/>
  <c r="E14" i="2"/>
  <c r="D13" i="2"/>
  <c r="C13" i="2"/>
  <c r="B13" i="2"/>
  <c r="A13" i="2"/>
  <c r="F7" i="2"/>
  <c r="F6" i="2"/>
  <c r="F5" i="2"/>
  <c r="E7" i="2"/>
  <c r="B7" i="2"/>
  <c r="D6" i="2"/>
  <c r="C6" i="2"/>
  <c r="B6" i="2"/>
  <c r="D5" i="2"/>
  <c r="C5" i="2"/>
  <c r="B5" i="2"/>
  <c r="A5" i="2"/>
  <c r="K41" i="1"/>
  <c r="K38" i="1"/>
  <c r="J38" i="1"/>
  <c r="K37" i="1"/>
  <c r="K34" i="1"/>
  <c r="J34" i="1"/>
  <c r="C45" i="1"/>
  <c r="C41" i="1"/>
  <c r="C39" i="1" s="1"/>
  <c r="C35" i="1" s="1"/>
  <c r="E35" i="1" s="1"/>
  <c r="A29" i="1"/>
  <c r="E30" i="1" s="1"/>
  <c r="K25" i="1"/>
  <c r="E26" i="1"/>
  <c r="C25" i="1"/>
  <c r="C24" i="1"/>
  <c r="J23" i="1" s="1"/>
  <c r="K15" i="1"/>
  <c r="K19" i="1"/>
  <c r="E21" i="1"/>
  <c r="C20" i="1"/>
  <c r="J18" i="1" s="1"/>
  <c r="C19" i="1"/>
  <c r="J17" i="1" s="1"/>
  <c r="C17" i="1"/>
  <c r="C12" i="1" s="1"/>
  <c r="J11" i="1" s="1"/>
  <c r="K9" i="1"/>
  <c r="J9" i="1"/>
  <c r="C8" i="1"/>
  <c r="E6" i="1" s="1"/>
  <c r="G24" i="3" l="1"/>
  <c r="J24" i="3"/>
  <c r="F22" i="3"/>
  <c r="E22" i="3"/>
  <c r="E29" i="1"/>
  <c r="C21" i="1"/>
  <c r="C29" i="1"/>
  <c r="C26" i="1"/>
  <c r="J24" i="1"/>
  <c r="C13" i="1"/>
  <c r="E12" i="1"/>
  <c r="E13" i="1" s="1"/>
  <c r="C30" i="1" l="1"/>
  <c r="C31" i="1" s="1"/>
  <c r="E31" i="1" s="1"/>
  <c r="C32" i="1"/>
  <c r="E32" i="1"/>
  <c r="C14" i="1"/>
  <c r="J12" i="1"/>
  <c r="J15" i="1" s="1"/>
</calcChain>
</file>

<file path=xl/sharedStrings.xml><?xml version="1.0" encoding="utf-8"?>
<sst xmlns="http://schemas.openxmlformats.org/spreadsheetml/2006/main" count="248" uniqueCount="71">
  <si>
    <t>LIBRO DIARIO</t>
  </si>
  <si>
    <t>NRO</t>
  </si>
  <si>
    <t>FECHA</t>
  </si>
  <si>
    <t>CUENTAS CONTABLES</t>
  </si>
  <si>
    <t>DEBE</t>
  </si>
  <si>
    <t>HABER</t>
  </si>
  <si>
    <t>Cálculo Auxiliar en Esquema T</t>
  </si>
  <si>
    <t>FORMATO DEL LIBRO DIARIO</t>
  </si>
  <si>
    <t>FORMATO DEL LIBRO MAYOR</t>
  </si>
  <si>
    <t>SALDO</t>
  </si>
  <si>
    <t>DESCRIPCIÓN</t>
  </si>
  <si>
    <t xml:space="preserve">FOLIO: </t>
  </si>
  <si>
    <t>CUENTA:</t>
  </si>
  <si>
    <t>BALANCE DE COMPROBACIÓN DE SUMAS Y SALDOS - BALANCE GENERAL &amp; ESTADO DE RESULTADOS</t>
  </si>
  <si>
    <t>Nro.</t>
  </si>
  <si>
    <t>CUENTA CONTABLE</t>
  </si>
  <si>
    <t>SUMAS</t>
  </si>
  <si>
    <t>SALDOS</t>
  </si>
  <si>
    <t>DEUDOR</t>
  </si>
  <si>
    <t>ACREEDOR</t>
  </si>
  <si>
    <t>BALANCE GENERAL</t>
  </si>
  <si>
    <t>ESTADO DE RESULTADOS</t>
  </si>
  <si>
    <t>ACTIVO</t>
  </si>
  <si>
    <t>PASIVO/PN</t>
  </si>
  <si>
    <t>RES. NEGATIVO</t>
  </si>
  <si>
    <t>RES. POSITIVO</t>
  </si>
  <si>
    <t>BG:Balance General</t>
  </si>
  <si>
    <t>ER:Estado de Resultado</t>
  </si>
  <si>
    <t>CAJA</t>
  </si>
  <si>
    <t>BANCO GNB CTA CTE</t>
  </si>
  <si>
    <t xml:space="preserve">PASIVO </t>
  </si>
  <si>
    <t>CAPITAL</t>
  </si>
  <si>
    <t>ASIENTO DE APERTURA</t>
  </si>
  <si>
    <t>EMPRESA JORGE SARABIA</t>
  </si>
  <si>
    <t>MERCADERIAS</t>
  </si>
  <si>
    <t>CANT</t>
  </si>
  <si>
    <t>COSTO TOTAL</t>
  </si>
  <si>
    <t>COST. UNIT</t>
  </si>
  <si>
    <t>IVA CF 10%</t>
  </si>
  <si>
    <t>DOCUMENTOS A PAGAR</t>
  </si>
  <si>
    <t>PASIVO</t>
  </si>
  <si>
    <t>COMPRA DE MOCHILAS SEGÚN</t>
  </si>
  <si>
    <t>FACT.036589 C/PAGARE</t>
  </si>
  <si>
    <t>HONORARIOS PROFESIONALES</t>
  </si>
  <si>
    <t>PAGO A CONTADOR, SEGÚN</t>
  </si>
  <si>
    <t>FACTURA A CONTADO</t>
  </si>
  <si>
    <t>SERVICIOS BASICOS</t>
  </si>
  <si>
    <t>PAGO DE SERVICIO ANDE</t>
  </si>
  <si>
    <t>5.</t>
  </si>
  <si>
    <t>VENTA</t>
  </si>
  <si>
    <t>DOCUMENTO A COBRAR</t>
  </si>
  <si>
    <t>INTERES A VENCER</t>
  </si>
  <si>
    <t>VENTA DE MERCADERIAS</t>
  </si>
  <si>
    <t>IVA DF 10%</t>
  </si>
  <si>
    <t>INTERES A PAGAR</t>
  </si>
  <si>
    <t>COSTO DE VENTAS</t>
  </si>
  <si>
    <t>COSTO=UNI.VEND * PRECIOCOMPRASIN IVA</t>
  </si>
  <si>
    <t xml:space="preserve">COSTO </t>
  </si>
  <si>
    <t>UNI.VEND</t>
  </si>
  <si>
    <t>PC S/IVA</t>
  </si>
  <si>
    <t>COSTO</t>
  </si>
  <si>
    <t xml:space="preserve">BANCO CTA CTE </t>
  </si>
  <si>
    <t>6.</t>
  </si>
  <si>
    <t>VENTA DE MERCADERIA</t>
  </si>
  <si>
    <t>COSTEO DE VENTAS</t>
  </si>
  <si>
    <t>BANCO CTA CTE</t>
  </si>
  <si>
    <t xml:space="preserve">DEPOSITO EN BANCO DE </t>
  </si>
  <si>
    <t>RECAUDACION DIA ANTERIOR</t>
  </si>
  <si>
    <t>DEPOSITO EN  BANCO</t>
  </si>
  <si>
    <t>PATRIMONIO</t>
  </si>
  <si>
    <t>perdida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</si>
</sst>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₲&quot;\ * #,##0_ ;_ &quot;₲&quot;\ * \-#,##0_ ;_ &quot;₲&quot;\ * &quot;-&quot;_ ;_ @_ "/>
    <numFmt numFmtId="41" formatCode="_ * #,##0_ ;_ * \-#,##0_ ;_ * &quot;-&quot;_ ;_ @_ "/>
  </numFmts>
  <fonts count="11" x14ac:knownFonts="1"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6"/>
      <color theme="1"/>
      <name val="Aptos"/>
      <family val="2"/>
    </font>
    <font>
      <sz val="12"/>
      <color theme="1"/>
      <name val="Aptos"/>
      <family val="2"/>
    </font>
    <font>
      <b/>
      <i/>
      <sz val="16"/>
      <color theme="1"/>
      <name val="Aptos"/>
    </font>
    <font>
      <i/>
      <sz val="12"/>
      <color theme="1"/>
      <name val="Aptos"/>
    </font>
    <font>
      <b/>
      <sz val="12"/>
      <color theme="1"/>
      <name val="Aptos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b/>
      <i/>
      <sz val="11"/>
      <color theme="1"/>
      <name val="Consolas"/>
      <family val="3"/>
    </font>
    <font>
      <b/>
      <i/>
      <sz val="16"/>
      <color theme="1"/>
      <name val="Aptos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</cellStyleXfs>
  <cellXfs count="85">
    <xf numFmtId="0" fontId="0" fillId="0" borderId="0" xfId="0"/>
    <xf numFmtId="0" fontId="0" fillId="0" borderId="1" xfId="0" applyBorder="1"/>
    <xf numFmtId="0" fontId="2" fillId="6" borderId="0" xfId="0" applyFont="1" applyFill="1" applyAlignment="1">
      <alignment horizontal="center"/>
    </xf>
    <xf numFmtId="0" fontId="0" fillId="0" borderId="10" xfId="0" applyBorder="1"/>
    <xf numFmtId="0" fontId="1" fillId="5" borderId="11" xfId="0" applyFont="1" applyFill="1" applyBorder="1"/>
    <xf numFmtId="0" fontId="1" fillId="5" borderId="12" xfId="0" applyFont="1" applyFill="1" applyBorder="1"/>
    <xf numFmtId="0" fontId="1" fillId="5" borderId="13" xfId="0" applyFont="1" applyFill="1" applyBorder="1"/>
    <xf numFmtId="0" fontId="4" fillId="6" borderId="0" xfId="0" applyFont="1" applyFill="1" applyAlignment="1">
      <alignment horizontal="right"/>
    </xf>
    <xf numFmtId="0" fontId="4" fillId="6" borderId="0" xfId="0" applyFont="1" applyFill="1" applyAlignment="1">
      <alignment horizontal="left"/>
    </xf>
    <xf numFmtId="0" fontId="4" fillId="6" borderId="0" xfId="0" applyFont="1" applyFill="1" applyAlignment="1">
      <alignment horizontal="center"/>
    </xf>
    <xf numFmtId="0" fontId="5" fillId="0" borderId="0" xfId="0" applyFont="1"/>
    <xf numFmtId="0" fontId="2" fillId="4" borderId="0" xfId="0" applyFont="1" applyFill="1"/>
    <xf numFmtId="0" fontId="0" fillId="4" borderId="0" xfId="0" applyFill="1"/>
    <xf numFmtId="0" fontId="6" fillId="0" borderId="2" xfId="0" applyFont="1" applyBorder="1"/>
    <xf numFmtId="0" fontId="6" fillId="0" borderId="8" xfId="0" applyFont="1" applyBorder="1"/>
    <xf numFmtId="41" fontId="0" fillId="0" borderId="10" xfId="1" applyFont="1" applyBorder="1"/>
    <xf numFmtId="41" fontId="0" fillId="0" borderId="1" xfId="1" applyFont="1" applyBorder="1"/>
    <xf numFmtId="0" fontId="6" fillId="0" borderId="1" xfId="0" applyFont="1" applyBorder="1"/>
    <xf numFmtId="0" fontId="7" fillId="3" borderId="0" xfId="0" applyFont="1" applyFill="1"/>
    <xf numFmtId="42" fontId="8" fillId="3" borderId="0" xfId="2" applyFont="1" applyFill="1"/>
    <xf numFmtId="0" fontId="8" fillId="3" borderId="0" xfId="0" applyFont="1" applyFill="1"/>
    <xf numFmtId="0" fontId="8" fillId="0" borderId="0" xfId="0" applyFont="1"/>
    <xf numFmtId="42" fontId="8" fillId="0" borderId="0" xfId="2" applyFont="1"/>
    <xf numFmtId="0" fontId="7" fillId="0" borderId="1" xfId="0" applyFont="1" applyBorder="1"/>
    <xf numFmtId="42" fontId="7" fillId="0" borderId="1" xfId="2" applyFont="1" applyBorder="1"/>
    <xf numFmtId="0" fontId="8" fillId="0" borderId="5" xfId="0" applyFont="1" applyBorder="1"/>
    <xf numFmtId="0" fontId="8" fillId="0" borderId="1" xfId="0" applyFont="1" applyBorder="1"/>
    <xf numFmtId="14" fontId="8" fillId="0" borderId="1" xfId="0" applyNumberFormat="1" applyFont="1" applyBorder="1"/>
    <xf numFmtId="42" fontId="8" fillId="0" borderId="1" xfId="2" applyFont="1" applyBorder="1"/>
    <xf numFmtId="0" fontId="8" fillId="7" borderId="5" xfId="0" applyFont="1" applyFill="1" applyBorder="1"/>
    <xf numFmtId="0" fontId="9" fillId="0" borderId="1" xfId="0" applyFont="1" applyBorder="1"/>
    <xf numFmtId="0" fontId="8" fillId="8" borderId="1" xfId="0" applyFont="1" applyFill="1" applyBorder="1"/>
    <xf numFmtId="0" fontId="9" fillId="8" borderId="1" xfId="0" applyFont="1" applyFill="1" applyBorder="1"/>
    <xf numFmtId="42" fontId="8" fillId="8" borderId="1" xfId="2" applyFont="1" applyFill="1" applyBorder="1"/>
    <xf numFmtId="42" fontId="7" fillId="0" borderId="0" xfId="2" applyFont="1"/>
    <xf numFmtId="0" fontId="8" fillId="9" borderId="5" xfId="0" applyFont="1" applyFill="1" applyBorder="1"/>
    <xf numFmtId="0" fontId="1" fillId="5" borderId="0" xfId="0" applyFont="1" applyFill="1"/>
    <xf numFmtId="14" fontId="0" fillId="0" borderId="10" xfId="0" applyNumberFormat="1" applyBorder="1"/>
    <xf numFmtId="14" fontId="0" fillId="0" borderId="1" xfId="0" applyNumberFormat="1" applyBorder="1"/>
    <xf numFmtId="42" fontId="0" fillId="0" borderId="10" xfId="0" applyNumberFormat="1" applyBorder="1"/>
    <xf numFmtId="0" fontId="6" fillId="3" borderId="8" xfId="0" applyFont="1" applyFill="1" applyBorder="1"/>
    <xf numFmtId="0" fontId="6" fillId="3" borderId="2" xfId="0" applyFont="1" applyFill="1" applyBorder="1"/>
    <xf numFmtId="41" fontId="0" fillId="0" borderId="1" xfId="0" applyNumberFormat="1" applyBorder="1"/>
    <xf numFmtId="41" fontId="0" fillId="3" borderId="1" xfId="0" applyNumberFormat="1" applyFill="1" applyBorder="1"/>
    <xf numFmtId="41" fontId="0" fillId="12" borderId="1" xfId="0" applyNumberFormat="1" applyFill="1" applyBorder="1"/>
    <xf numFmtId="41" fontId="0" fillId="13" borderId="1" xfId="0" applyNumberFormat="1" applyFill="1" applyBorder="1"/>
    <xf numFmtId="41" fontId="0" fillId="0" borderId="0" xfId="0" applyNumberFormat="1"/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7" fillId="0" borderId="0" xfId="0" applyFont="1" applyAlignment="1">
      <alignment horizontal="left" wrapText="1"/>
    </xf>
    <xf numFmtId="0" fontId="7" fillId="4" borderId="7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11" borderId="14" xfId="0" applyFont="1" applyFill="1" applyBorder="1" applyAlignment="1">
      <alignment horizontal="center"/>
    </xf>
    <xf numFmtId="0" fontId="6" fillId="11" borderId="15" xfId="0" applyFont="1" applyFill="1" applyBorder="1" applyAlignment="1">
      <alignment horizontal="center"/>
    </xf>
    <xf numFmtId="0" fontId="6" fillId="10" borderId="14" xfId="0" applyFont="1" applyFill="1" applyBorder="1" applyAlignment="1">
      <alignment horizontal="center"/>
    </xf>
    <xf numFmtId="0" fontId="6" fillId="10" borderId="15" xfId="0" applyFont="1" applyFill="1" applyBorder="1" applyAlignment="1">
      <alignment horizontal="center"/>
    </xf>
    <xf numFmtId="0" fontId="8" fillId="0" borderId="0" xfId="0" applyFont="1" applyBorder="1"/>
    <xf numFmtId="0" fontId="7" fillId="0" borderId="0" xfId="0" applyFont="1"/>
    <xf numFmtId="0" fontId="8" fillId="6" borderId="1" xfId="0" applyFont="1" applyFill="1" applyBorder="1"/>
    <xf numFmtId="0" fontId="9" fillId="6" borderId="1" xfId="0" applyFont="1" applyFill="1" applyBorder="1"/>
    <xf numFmtId="42" fontId="8" fillId="6" borderId="1" xfId="2" applyFont="1" applyFill="1" applyBorder="1"/>
    <xf numFmtId="14" fontId="8" fillId="6" borderId="1" xfId="0" applyNumberFormat="1" applyFont="1" applyFill="1" applyBorder="1"/>
    <xf numFmtId="0" fontId="8" fillId="14" borderId="1" xfId="0" applyFont="1" applyFill="1" applyBorder="1"/>
    <xf numFmtId="42" fontId="8" fillId="14" borderId="1" xfId="2" applyFont="1" applyFill="1" applyBorder="1"/>
    <xf numFmtId="0" fontId="9" fillId="14" borderId="1" xfId="0" applyFont="1" applyFill="1" applyBorder="1"/>
    <xf numFmtId="14" fontId="8" fillId="0" borderId="0" xfId="0" applyNumberFormat="1" applyFont="1"/>
    <xf numFmtId="14" fontId="7" fillId="0" borderId="1" xfId="0" applyNumberFormat="1" applyFont="1" applyBorder="1"/>
    <xf numFmtId="14" fontId="8" fillId="8" borderId="1" xfId="0" applyNumberFormat="1" applyFont="1" applyFill="1" applyBorder="1"/>
    <xf numFmtId="14" fontId="8" fillId="14" borderId="1" xfId="0" applyNumberFormat="1" applyFont="1" applyFill="1" applyBorder="1"/>
    <xf numFmtId="14" fontId="8" fillId="14" borderId="1" xfId="2" applyNumberFormat="1" applyFont="1" applyFill="1" applyBorder="1"/>
    <xf numFmtId="0" fontId="10" fillId="6" borderId="0" xfId="0" applyFont="1" applyFill="1" applyAlignment="1">
      <alignment horizontal="left"/>
    </xf>
    <xf numFmtId="0" fontId="8" fillId="3" borderId="1" xfId="0" applyFont="1" applyFill="1" applyBorder="1"/>
    <xf numFmtId="42" fontId="0" fillId="0" borderId="1" xfId="0" applyNumberFormat="1" applyBorder="1"/>
    <xf numFmtId="42" fontId="0" fillId="0" borderId="0" xfId="0" applyNumberFormat="1"/>
    <xf numFmtId="41" fontId="0" fillId="4" borderId="1" xfId="0" applyNumberFormat="1" applyFill="1" applyBorder="1"/>
  </cellXfs>
  <cellStyles count="3">
    <cellStyle name="Comma [0]" xfId="1" builtinId="6"/>
    <cellStyle name="Currency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92"/>
  <sheetViews>
    <sheetView topLeftCell="B19" zoomScale="90" zoomScaleNormal="90" workbookViewId="0">
      <selection activeCell="I36" sqref="I36"/>
    </sheetView>
  </sheetViews>
  <sheetFormatPr defaultColWidth="11" defaultRowHeight="14.4" x14ac:dyDescent="0.3"/>
  <cols>
    <col min="1" max="1" width="11" style="21"/>
    <col min="2" max="2" width="34.54296875" style="21" bestFit="1" customWidth="1"/>
    <col min="3" max="3" width="17" style="22" bestFit="1" customWidth="1"/>
    <col min="4" max="4" width="19.453125" style="21" bestFit="1" customWidth="1"/>
    <col min="5" max="5" width="17" style="22" bestFit="1" customWidth="1"/>
    <col min="6" max="6" width="7.6328125" style="21" customWidth="1"/>
    <col min="7" max="7" width="5.6328125" style="21" customWidth="1"/>
    <col min="8" max="8" width="11" style="75"/>
    <col min="9" max="9" width="23.81640625" style="21" customWidth="1"/>
    <col min="10" max="11" width="17" style="22" bestFit="1" customWidth="1"/>
    <col min="12" max="16384" width="11" style="21"/>
  </cols>
  <sheetData>
    <row r="1" spans="2:16" x14ac:dyDescent="0.3">
      <c r="B1" s="18" t="s">
        <v>0</v>
      </c>
      <c r="C1" s="19"/>
      <c r="D1" s="20"/>
      <c r="E1" s="19"/>
      <c r="F1" s="20"/>
    </row>
    <row r="2" spans="2:16" ht="16.5" customHeight="1" x14ac:dyDescent="0.3"/>
    <row r="3" spans="2:16" ht="15" thickBot="1" x14ac:dyDescent="0.35">
      <c r="B3" s="50" t="s">
        <v>6</v>
      </c>
      <c r="C3" s="50"/>
      <c r="D3" s="50"/>
      <c r="E3" s="50"/>
      <c r="F3" s="50"/>
      <c r="G3" s="51" t="s">
        <v>7</v>
      </c>
      <c r="H3" s="51"/>
      <c r="I3" s="51"/>
      <c r="J3" s="51"/>
      <c r="K3" s="51"/>
    </row>
    <row r="4" spans="2:16" ht="15" thickBot="1" x14ac:dyDescent="0.35">
      <c r="B4" s="54" t="s">
        <v>4</v>
      </c>
      <c r="C4" s="55"/>
      <c r="D4" s="56" t="s">
        <v>5</v>
      </c>
      <c r="E4" s="53"/>
      <c r="G4" s="23" t="s">
        <v>1</v>
      </c>
      <c r="H4" s="76" t="s">
        <v>2</v>
      </c>
      <c r="I4" s="23" t="s">
        <v>3</v>
      </c>
      <c r="J4" s="24" t="s">
        <v>4</v>
      </c>
      <c r="K4" s="24" t="s">
        <v>5</v>
      </c>
      <c r="P4" s="21" t="s">
        <v>26</v>
      </c>
    </row>
    <row r="5" spans="2:16" x14ac:dyDescent="0.3">
      <c r="B5" s="21" t="s">
        <v>28</v>
      </c>
      <c r="C5" s="22">
        <v>1000000</v>
      </c>
      <c r="D5" s="25" t="s">
        <v>30</v>
      </c>
      <c r="E5" s="22">
        <v>0</v>
      </c>
      <c r="G5" s="26">
        <v>1</v>
      </c>
      <c r="H5" s="27">
        <v>46147</v>
      </c>
      <c r="I5" s="81" t="s">
        <v>28</v>
      </c>
      <c r="J5" s="28">
        <v>1000000</v>
      </c>
      <c r="K5" s="28"/>
      <c r="P5" s="21" t="s">
        <v>27</v>
      </c>
    </row>
    <row r="6" spans="2:16" x14ac:dyDescent="0.3">
      <c r="B6" s="21" t="s">
        <v>29</v>
      </c>
      <c r="C6" s="22">
        <v>45000000</v>
      </c>
      <c r="D6" s="29" t="s">
        <v>31</v>
      </c>
      <c r="E6" s="22">
        <f>C8</f>
        <v>46000000</v>
      </c>
      <c r="G6" s="26"/>
      <c r="H6" s="27"/>
      <c r="I6" s="81" t="s">
        <v>29</v>
      </c>
      <c r="J6" s="28">
        <v>46000000</v>
      </c>
      <c r="K6" s="28"/>
    </row>
    <row r="7" spans="2:16" x14ac:dyDescent="0.3">
      <c r="D7" s="29"/>
      <c r="G7" s="26"/>
      <c r="H7" s="27"/>
      <c r="I7" s="81" t="s">
        <v>31</v>
      </c>
      <c r="J7" s="28"/>
      <c r="K7" s="28">
        <v>47000000</v>
      </c>
    </row>
    <row r="8" spans="2:16" x14ac:dyDescent="0.3">
      <c r="B8" s="21" t="s">
        <v>22</v>
      </c>
      <c r="C8" s="22">
        <f>SUM(C5:C6)</f>
        <v>46000000</v>
      </c>
      <c r="D8" s="25"/>
      <c r="G8" s="26"/>
      <c r="H8" s="27"/>
      <c r="I8" s="30" t="s">
        <v>32</v>
      </c>
      <c r="J8" s="28"/>
      <c r="K8" s="28"/>
    </row>
    <row r="9" spans="2:16" x14ac:dyDescent="0.3">
      <c r="G9" s="26"/>
      <c r="H9" s="27"/>
      <c r="I9" s="30" t="s">
        <v>33</v>
      </c>
      <c r="J9" s="28">
        <f>SUM(J5:J8)</f>
        <v>47000000</v>
      </c>
      <c r="K9" s="28">
        <f>SUM(K7:K8)</f>
        <v>47000000</v>
      </c>
    </row>
    <row r="10" spans="2:16" ht="15" thickBot="1" x14ac:dyDescent="0.35">
      <c r="G10" s="31"/>
      <c r="H10" s="77"/>
      <c r="I10" s="32"/>
      <c r="J10" s="33"/>
      <c r="K10" s="33"/>
    </row>
    <row r="11" spans="2:16" ht="15" thickBot="1" x14ac:dyDescent="0.35">
      <c r="B11" s="54" t="s">
        <v>4</v>
      </c>
      <c r="C11" s="53"/>
      <c r="D11" s="52" t="s">
        <v>5</v>
      </c>
      <c r="E11" s="53"/>
      <c r="G11" s="26">
        <v>2</v>
      </c>
      <c r="H11" s="27">
        <v>46151</v>
      </c>
      <c r="I11" s="81" t="s">
        <v>34</v>
      </c>
      <c r="J11" s="28">
        <f>C12</f>
        <v>3636363.6363636362</v>
      </c>
      <c r="K11" s="28"/>
    </row>
    <row r="12" spans="2:16" x14ac:dyDescent="0.3">
      <c r="B12" s="21" t="s">
        <v>34</v>
      </c>
      <c r="C12" s="22">
        <f>C17/1.1</f>
        <v>3636363.6363636362</v>
      </c>
      <c r="D12" s="25" t="s">
        <v>39</v>
      </c>
      <c r="E12" s="22">
        <f>C17</f>
        <v>4000000</v>
      </c>
      <c r="G12" s="26"/>
      <c r="H12" s="27"/>
      <c r="I12" s="81" t="s">
        <v>38</v>
      </c>
      <c r="J12" s="28">
        <f>C13</f>
        <v>363636.36363636365</v>
      </c>
      <c r="K12" s="28"/>
    </row>
    <row r="13" spans="2:16" x14ac:dyDescent="0.3">
      <c r="B13" s="21" t="s">
        <v>38</v>
      </c>
      <c r="C13" s="22">
        <f>C17/11</f>
        <v>363636.36363636365</v>
      </c>
      <c r="D13" s="25" t="s">
        <v>40</v>
      </c>
      <c r="E13" s="22">
        <f>E12</f>
        <v>4000000</v>
      </c>
      <c r="G13" s="68"/>
      <c r="H13" s="71"/>
      <c r="I13" s="81" t="s">
        <v>39</v>
      </c>
      <c r="J13" s="70"/>
      <c r="K13" s="70">
        <v>4000000</v>
      </c>
    </row>
    <row r="14" spans="2:16" x14ac:dyDescent="0.3">
      <c r="B14" s="67" t="s">
        <v>22</v>
      </c>
      <c r="C14" s="22">
        <f>SUM(C12:C13)</f>
        <v>4000000</v>
      </c>
      <c r="D14" s="25"/>
      <c r="G14" s="68"/>
      <c r="H14" s="71"/>
      <c r="I14" s="69" t="s">
        <v>41</v>
      </c>
      <c r="J14" s="70"/>
      <c r="K14" s="70"/>
    </row>
    <row r="15" spans="2:16" x14ac:dyDescent="0.3">
      <c r="B15" s="67"/>
      <c r="D15" s="66"/>
      <c r="G15" s="68"/>
      <c r="H15" s="71"/>
      <c r="I15" s="69" t="s">
        <v>42</v>
      </c>
      <c r="J15" s="70">
        <f>SUM(J11:J14)</f>
        <v>4000000</v>
      </c>
      <c r="K15" s="70">
        <f>SUM(K13:K14)</f>
        <v>4000000</v>
      </c>
    </row>
    <row r="16" spans="2:16" x14ac:dyDescent="0.3">
      <c r="B16" s="21" t="s">
        <v>37</v>
      </c>
      <c r="C16" s="22">
        <v>400000</v>
      </c>
      <c r="D16" s="66" t="s">
        <v>35</v>
      </c>
      <c r="E16" s="22">
        <v>10</v>
      </c>
      <c r="G16" s="72"/>
      <c r="H16" s="78"/>
      <c r="I16" s="72"/>
      <c r="J16" s="73"/>
      <c r="K16" s="73"/>
    </row>
    <row r="17" spans="1:11" ht="15" thickBot="1" x14ac:dyDescent="0.35">
      <c r="B17" s="21" t="s">
        <v>36</v>
      </c>
      <c r="C17" s="22">
        <f>C16*E16</f>
        <v>4000000</v>
      </c>
      <c r="G17" s="68">
        <v>3</v>
      </c>
      <c r="H17" s="71">
        <v>46152</v>
      </c>
      <c r="I17" s="81" t="s">
        <v>43</v>
      </c>
      <c r="J17" s="70">
        <f>C19</f>
        <v>3272727.2727272725</v>
      </c>
      <c r="K17" s="70"/>
    </row>
    <row r="18" spans="1:11" ht="15" thickBot="1" x14ac:dyDescent="0.35">
      <c r="B18" s="54" t="s">
        <v>4</v>
      </c>
      <c r="C18" s="53"/>
      <c r="D18" s="52" t="s">
        <v>5</v>
      </c>
      <c r="E18" s="53"/>
      <c r="G18" s="68"/>
      <c r="H18" s="71"/>
      <c r="I18" s="81" t="s">
        <v>38</v>
      </c>
      <c r="J18" s="70">
        <f>C20</f>
        <v>327272.72727272729</v>
      </c>
      <c r="K18" s="70"/>
    </row>
    <row r="19" spans="1:11" x14ac:dyDescent="0.3">
      <c r="B19" s="21" t="s">
        <v>43</v>
      </c>
      <c r="C19" s="22">
        <f>3600000/1.1</f>
        <v>3272727.2727272725</v>
      </c>
      <c r="D19" s="25" t="s">
        <v>29</v>
      </c>
      <c r="E19" s="22">
        <v>3600000</v>
      </c>
      <c r="G19" s="68"/>
      <c r="H19" s="71"/>
      <c r="I19" s="81" t="s">
        <v>29</v>
      </c>
      <c r="J19" s="70"/>
      <c r="K19" s="70">
        <f>E19</f>
        <v>3600000</v>
      </c>
    </row>
    <row r="20" spans="1:11" x14ac:dyDescent="0.3">
      <c r="B20" s="21" t="s">
        <v>38</v>
      </c>
      <c r="C20" s="22">
        <f>3600000/11</f>
        <v>327272.72727272729</v>
      </c>
      <c r="D20" s="25"/>
      <c r="G20" s="68"/>
      <c r="H20" s="71"/>
      <c r="I20" s="69" t="s">
        <v>44</v>
      </c>
      <c r="J20" s="70"/>
      <c r="K20" s="70"/>
    </row>
    <row r="21" spans="1:11" x14ac:dyDescent="0.3">
      <c r="B21" s="21" t="s">
        <v>22</v>
      </c>
      <c r="C21" s="34">
        <f>SUM(C19:C20)</f>
        <v>3600000</v>
      </c>
      <c r="D21" s="25" t="s">
        <v>40</v>
      </c>
      <c r="E21" s="22">
        <f>SUM(E19:E20)</f>
        <v>3600000</v>
      </c>
      <c r="G21" s="68"/>
      <c r="H21" s="71"/>
      <c r="I21" s="69" t="s">
        <v>45</v>
      </c>
      <c r="J21" s="70"/>
      <c r="K21" s="70"/>
    </row>
    <row r="22" spans="1:11" ht="15" thickBot="1" x14ac:dyDescent="0.35">
      <c r="G22" s="73"/>
      <c r="H22" s="79"/>
      <c r="I22" s="73"/>
      <c r="J22" s="73"/>
      <c r="K22" s="73"/>
    </row>
    <row r="23" spans="1:11" ht="15" thickBot="1" x14ac:dyDescent="0.35">
      <c r="B23" s="54"/>
      <c r="C23" s="53"/>
      <c r="D23" s="52"/>
      <c r="E23" s="53"/>
      <c r="G23" s="68">
        <v>4</v>
      </c>
      <c r="H23" s="71">
        <v>46154</v>
      </c>
      <c r="I23" s="81" t="s">
        <v>46</v>
      </c>
      <c r="J23" s="70">
        <f>C24</f>
        <v>545454.54545454541</v>
      </c>
      <c r="K23" s="70"/>
    </row>
    <row r="24" spans="1:11" x14ac:dyDescent="0.3">
      <c r="B24" s="21" t="s">
        <v>46</v>
      </c>
      <c r="C24" s="22">
        <f>600000/1.1</f>
        <v>545454.54545454541</v>
      </c>
      <c r="D24" s="25" t="s">
        <v>29</v>
      </c>
      <c r="E24" s="22">
        <v>600000</v>
      </c>
      <c r="G24" s="68"/>
      <c r="H24" s="71"/>
      <c r="I24" s="81" t="s">
        <v>38</v>
      </c>
      <c r="J24" s="70">
        <f>C25</f>
        <v>54545.454545454544</v>
      </c>
      <c r="K24" s="70"/>
    </row>
    <row r="25" spans="1:11" x14ac:dyDescent="0.3">
      <c r="B25" s="21" t="s">
        <v>38</v>
      </c>
      <c r="C25" s="22">
        <f>600000/11</f>
        <v>54545.454545454544</v>
      </c>
      <c r="D25" s="25"/>
      <c r="G25" s="68"/>
      <c r="H25" s="71"/>
      <c r="I25" s="81" t="s">
        <v>29</v>
      </c>
      <c r="J25" s="70"/>
      <c r="K25" s="70">
        <f>E24</f>
        <v>600000</v>
      </c>
    </row>
    <row r="26" spans="1:11" x14ac:dyDescent="0.3">
      <c r="B26" s="21" t="s">
        <v>22</v>
      </c>
      <c r="C26" s="22">
        <f>SUM(C24:C25)</f>
        <v>600000</v>
      </c>
      <c r="D26" s="25" t="s">
        <v>40</v>
      </c>
      <c r="E26" s="22">
        <f>SUM(E24:E25)</f>
        <v>600000</v>
      </c>
      <c r="G26" s="68"/>
      <c r="H26" s="71"/>
      <c r="I26" s="69" t="s">
        <v>47</v>
      </c>
      <c r="J26" s="70"/>
      <c r="K26" s="70"/>
    </row>
    <row r="27" spans="1:11" ht="15" thickBot="1" x14ac:dyDescent="0.35">
      <c r="B27" s="21" t="s">
        <v>48</v>
      </c>
      <c r="G27" s="72"/>
      <c r="H27" s="78"/>
      <c r="I27" s="74"/>
      <c r="J27" s="73"/>
      <c r="K27" s="73"/>
    </row>
    <row r="28" spans="1:11" ht="15" thickBot="1" x14ac:dyDescent="0.35">
      <c r="A28" s="21" t="s">
        <v>49</v>
      </c>
      <c r="B28" s="54"/>
      <c r="C28" s="53"/>
      <c r="D28" s="52"/>
      <c r="E28" s="53"/>
      <c r="G28" s="68">
        <v>5</v>
      </c>
      <c r="H28" s="71">
        <v>46159</v>
      </c>
      <c r="I28" s="81" t="s">
        <v>28</v>
      </c>
      <c r="J28" s="70">
        <v>1375000</v>
      </c>
      <c r="K28" s="70"/>
    </row>
    <row r="29" spans="1:11" x14ac:dyDescent="0.3">
      <c r="A29" s="21">
        <f>5*550000</f>
        <v>2750000</v>
      </c>
      <c r="B29" s="21" t="s">
        <v>28</v>
      </c>
      <c r="C29" s="22">
        <f>A29*50%</f>
        <v>1375000</v>
      </c>
      <c r="D29" s="25" t="s">
        <v>52</v>
      </c>
      <c r="E29" s="22">
        <f>A29/1.1</f>
        <v>2500000</v>
      </c>
      <c r="G29" s="68"/>
      <c r="H29" s="71"/>
      <c r="I29" s="81" t="s">
        <v>50</v>
      </c>
      <c r="J29" s="70">
        <v>1375000</v>
      </c>
      <c r="K29" s="70"/>
    </row>
    <row r="30" spans="1:11" x14ac:dyDescent="0.3">
      <c r="B30" s="21" t="s">
        <v>50</v>
      </c>
      <c r="C30" s="22">
        <f>C29</f>
        <v>1375000</v>
      </c>
      <c r="D30" s="25" t="s">
        <v>53</v>
      </c>
      <c r="E30" s="22">
        <f>A29/11</f>
        <v>250000</v>
      </c>
      <c r="G30" s="68"/>
      <c r="H30" s="71"/>
      <c r="I30" s="81" t="s">
        <v>51</v>
      </c>
      <c r="J30" s="70">
        <v>8021</v>
      </c>
      <c r="K30" s="70"/>
    </row>
    <row r="31" spans="1:11" x14ac:dyDescent="0.3">
      <c r="B31" s="21" t="s">
        <v>51</v>
      </c>
      <c r="C31" s="22">
        <f>(C30*30*7)/(360*100)</f>
        <v>8020.833333333333</v>
      </c>
      <c r="D31" s="25" t="s">
        <v>54</v>
      </c>
      <c r="E31" s="22">
        <f>C31</f>
        <v>8020.833333333333</v>
      </c>
      <c r="G31" s="68"/>
      <c r="H31" s="71"/>
      <c r="I31" s="81" t="s">
        <v>63</v>
      </c>
      <c r="J31" s="70"/>
      <c r="K31" s="70">
        <v>2500000</v>
      </c>
    </row>
    <row r="32" spans="1:11" x14ac:dyDescent="0.3">
      <c r="C32" s="34">
        <f>SUM(C29:C31)</f>
        <v>2758020.8333333335</v>
      </c>
      <c r="D32" s="66"/>
      <c r="E32" s="34">
        <f>SUM(E29:E31)</f>
        <v>2758020.8333333335</v>
      </c>
      <c r="G32" s="68"/>
      <c r="H32" s="71"/>
      <c r="I32" s="81" t="s">
        <v>53</v>
      </c>
      <c r="J32" s="70"/>
      <c r="K32" s="70">
        <v>250000</v>
      </c>
    </row>
    <row r="33" spans="1:11" ht="15" thickBot="1" x14ac:dyDescent="0.35">
      <c r="G33" s="68"/>
      <c r="H33" s="71"/>
      <c r="I33" s="81" t="s">
        <v>54</v>
      </c>
      <c r="J33" s="70"/>
      <c r="K33" s="70">
        <v>8021</v>
      </c>
    </row>
    <row r="34" spans="1:11" ht="15" thickBot="1" x14ac:dyDescent="0.35">
      <c r="A34" s="21" t="s">
        <v>60</v>
      </c>
      <c r="B34" s="54"/>
      <c r="C34" s="53"/>
      <c r="D34" s="52"/>
      <c r="E34" s="53"/>
      <c r="G34" s="68"/>
      <c r="H34" s="71"/>
      <c r="I34" s="69" t="s">
        <v>52</v>
      </c>
      <c r="J34" s="70">
        <f>SUM(J28:J33)</f>
        <v>2758021</v>
      </c>
      <c r="K34" s="70">
        <f>SUM(K31:K33)</f>
        <v>2758021</v>
      </c>
    </row>
    <row r="35" spans="1:11" x14ac:dyDescent="0.3">
      <c r="B35" s="21" t="s">
        <v>55</v>
      </c>
      <c r="C35" s="22">
        <f>C39</f>
        <v>1818181.8181818179</v>
      </c>
      <c r="D35" s="25" t="s">
        <v>34</v>
      </c>
      <c r="E35" s="22">
        <f>C35</f>
        <v>1818181.8181818179</v>
      </c>
      <c r="G35" s="72"/>
      <c r="H35" s="78"/>
      <c r="I35" s="72"/>
      <c r="J35" s="73"/>
      <c r="K35" s="73"/>
    </row>
    <row r="36" spans="1:11" x14ac:dyDescent="0.3">
      <c r="D36" s="25"/>
      <c r="G36" s="68">
        <v>6</v>
      </c>
      <c r="H36" s="71">
        <v>46159</v>
      </c>
      <c r="I36" s="81" t="s">
        <v>55</v>
      </c>
      <c r="J36" s="70">
        <v>1818182</v>
      </c>
      <c r="K36" s="70"/>
    </row>
    <row r="37" spans="1:11" x14ac:dyDescent="0.3">
      <c r="D37" s="25"/>
      <c r="G37" s="68"/>
      <c r="H37" s="71"/>
      <c r="I37" s="81" t="s">
        <v>34</v>
      </c>
      <c r="J37" s="70"/>
      <c r="K37" s="70">
        <f>J36</f>
        <v>1818182</v>
      </c>
    </row>
    <row r="38" spans="1:11" x14ac:dyDescent="0.3">
      <c r="B38" s="21" t="s">
        <v>56</v>
      </c>
      <c r="G38" s="68"/>
      <c r="H38" s="71"/>
      <c r="I38" s="69" t="s">
        <v>64</v>
      </c>
      <c r="J38" s="70">
        <f>SUM(J36:J37)</f>
        <v>1818182</v>
      </c>
      <c r="K38" s="70">
        <f>SUM(K37)</f>
        <v>1818182</v>
      </c>
    </row>
    <row r="39" spans="1:11" x14ac:dyDescent="0.3">
      <c r="B39" s="21" t="s">
        <v>57</v>
      </c>
      <c r="C39" s="22">
        <f>C40*C41</f>
        <v>1818181.8181818179</v>
      </c>
      <c r="G39" s="72"/>
      <c r="H39" s="78"/>
      <c r="I39" s="72"/>
      <c r="J39" s="73"/>
      <c r="K39" s="73"/>
    </row>
    <row r="40" spans="1:11" x14ac:dyDescent="0.3">
      <c r="B40" s="21" t="s">
        <v>58</v>
      </c>
      <c r="C40" s="22">
        <v>5</v>
      </c>
      <c r="G40" s="68">
        <v>7</v>
      </c>
      <c r="H40" s="71">
        <v>46160</v>
      </c>
      <c r="I40" s="81" t="s">
        <v>65</v>
      </c>
      <c r="J40" s="70">
        <v>1375000</v>
      </c>
      <c r="K40" s="70"/>
    </row>
    <row r="41" spans="1:11" x14ac:dyDescent="0.3">
      <c r="B41" s="21" t="s">
        <v>59</v>
      </c>
      <c r="C41" s="22">
        <f>C16/1.1</f>
        <v>363636.36363636359</v>
      </c>
      <c r="G41" s="68"/>
      <c r="H41" s="71"/>
      <c r="I41" s="81" t="s">
        <v>28</v>
      </c>
      <c r="J41" s="70"/>
      <c r="K41" s="70">
        <f>J40</f>
        <v>1375000</v>
      </c>
    </row>
    <row r="42" spans="1:11" x14ac:dyDescent="0.3">
      <c r="G42" s="68"/>
      <c r="H42" s="71"/>
      <c r="I42" s="69" t="s">
        <v>66</v>
      </c>
      <c r="J42" s="70"/>
      <c r="K42" s="70"/>
    </row>
    <row r="43" spans="1:11" ht="15" thickBot="1" x14ac:dyDescent="0.35">
      <c r="B43" s="21" t="s">
        <v>62</v>
      </c>
      <c r="G43" s="68"/>
      <c r="H43" s="71"/>
      <c r="I43" s="69" t="s">
        <v>67</v>
      </c>
      <c r="J43" s="70"/>
      <c r="K43" s="70"/>
    </row>
    <row r="44" spans="1:11" ht="15" thickBot="1" x14ac:dyDescent="0.35">
      <c r="B44" s="47"/>
      <c r="C44" s="48"/>
      <c r="D44" s="49"/>
      <c r="E44" s="48"/>
      <c r="G44" s="72"/>
      <c r="H44" s="78"/>
      <c r="I44" s="72"/>
      <c r="J44" s="73"/>
      <c r="K44" s="73"/>
    </row>
    <row r="45" spans="1:11" x14ac:dyDescent="0.3">
      <c r="B45" s="21" t="s">
        <v>61</v>
      </c>
      <c r="C45" s="22">
        <f>E45</f>
        <v>1375000</v>
      </c>
      <c r="D45" s="25" t="s">
        <v>28</v>
      </c>
      <c r="E45" s="22">
        <v>1375000</v>
      </c>
      <c r="G45" s="68"/>
      <c r="H45" s="71"/>
      <c r="I45" s="68"/>
      <c r="J45" s="70"/>
      <c r="K45" s="70"/>
    </row>
    <row r="46" spans="1:11" x14ac:dyDescent="0.3">
      <c r="D46" s="25"/>
      <c r="G46" s="68"/>
      <c r="H46" s="71"/>
      <c r="I46" s="68"/>
      <c r="J46" s="70"/>
      <c r="K46" s="70"/>
    </row>
    <row r="47" spans="1:11" x14ac:dyDescent="0.3">
      <c r="D47" s="25"/>
      <c r="G47" s="68"/>
      <c r="H47" s="71"/>
      <c r="I47" s="69"/>
      <c r="J47" s="70"/>
      <c r="K47" s="70"/>
    </row>
    <row r="48" spans="1:11" x14ac:dyDescent="0.3">
      <c r="D48" s="25"/>
      <c r="G48" s="68"/>
      <c r="H48" s="71"/>
      <c r="I48" s="69"/>
      <c r="J48" s="70"/>
      <c r="K48" s="70"/>
    </row>
    <row r="49" spans="2:11" x14ac:dyDescent="0.3">
      <c r="D49" s="25"/>
      <c r="G49" s="68"/>
      <c r="H49" s="71"/>
      <c r="I49" s="68"/>
      <c r="J49" s="70"/>
      <c r="K49" s="70"/>
    </row>
    <row r="50" spans="2:11" x14ac:dyDescent="0.3">
      <c r="D50" s="25"/>
      <c r="G50" s="68"/>
      <c r="H50" s="71"/>
      <c r="I50" s="68"/>
      <c r="J50" s="70"/>
      <c r="K50" s="70"/>
    </row>
    <row r="51" spans="2:11" x14ac:dyDescent="0.3">
      <c r="D51" s="25"/>
      <c r="G51" s="68"/>
      <c r="H51" s="71"/>
      <c r="I51" s="68"/>
      <c r="J51" s="70"/>
      <c r="K51" s="70"/>
    </row>
    <row r="52" spans="2:11" x14ac:dyDescent="0.3">
      <c r="D52" s="25"/>
      <c r="G52" s="68"/>
      <c r="H52" s="71"/>
      <c r="I52" s="69"/>
      <c r="J52" s="70"/>
      <c r="K52" s="70"/>
    </row>
    <row r="53" spans="2:11" x14ac:dyDescent="0.3">
      <c r="D53" s="25"/>
      <c r="G53" s="68"/>
      <c r="H53" s="71"/>
      <c r="I53" s="69"/>
      <c r="J53" s="70"/>
      <c r="K53" s="70"/>
    </row>
    <row r="54" spans="2:11" x14ac:dyDescent="0.3">
      <c r="D54" s="25"/>
      <c r="G54" s="68"/>
      <c r="H54" s="71"/>
      <c r="I54" s="68"/>
      <c r="J54" s="70"/>
      <c r="K54" s="70"/>
    </row>
    <row r="55" spans="2:11" x14ac:dyDescent="0.3">
      <c r="D55" s="25"/>
      <c r="G55" s="68"/>
      <c r="H55" s="71"/>
      <c r="I55" s="68"/>
      <c r="J55" s="70"/>
      <c r="K55" s="70"/>
    </row>
    <row r="56" spans="2:11" x14ac:dyDescent="0.3">
      <c r="G56" s="68"/>
      <c r="H56" s="71"/>
      <c r="I56" s="68"/>
      <c r="J56" s="70"/>
      <c r="K56" s="70"/>
    </row>
    <row r="57" spans="2:11" ht="15" thickBot="1" x14ac:dyDescent="0.35">
      <c r="G57" s="68"/>
      <c r="H57" s="71"/>
      <c r="I57" s="68"/>
      <c r="J57" s="70"/>
      <c r="K57" s="70"/>
    </row>
    <row r="58" spans="2:11" ht="15" thickBot="1" x14ac:dyDescent="0.35">
      <c r="B58" s="54"/>
      <c r="C58" s="53"/>
      <c r="D58" s="52"/>
      <c r="E58" s="53"/>
      <c r="G58" s="68"/>
      <c r="H58" s="71"/>
      <c r="I58" s="68"/>
      <c r="J58" s="70"/>
      <c r="K58" s="70"/>
    </row>
    <row r="59" spans="2:11" x14ac:dyDescent="0.3">
      <c r="D59" s="35"/>
      <c r="G59" s="68"/>
      <c r="H59" s="71"/>
      <c r="I59" s="69"/>
      <c r="J59" s="70"/>
      <c r="K59" s="70"/>
    </row>
    <row r="60" spans="2:11" x14ac:dyDescent="0.3">
      <c r="D60" s="25"/>
      <c r="G60" s="68"/>
      <c r="H60" s="71"/>
      <c r="I60" s="69"/>
      <c r="J60" s="70"/>
      <c r="K60" s="70"/>
    </row>
    <row r="61" spans="2:11" x14ac:dyDescent="0.3">
      <c r="D61" s="25"/>
    </row>
    <row r="64" spans="2:11" ht="15" thickBot="1" x14ac:dyDescent="0.35"/>
    <row r="65" spans="2:5" ht="15" thickBot="1" x14ac:dyDescent="0.35">
      <c r="B65" s="54"/>
      <c r="C65" s="53"/>
      <c r="D65" s="52"/>
      <c r="E65" s="53"/>
    </row>
    <row r="66" spans="2:5" x14ac:dyDescent="0.3">
      <c r="D66" s="25"/>
    </row>
    <row r="67" spans="2:5" x14ac:dyDescent="0.3">
      <c r="D67" s="25"/>
    </row>
    <row r="68" spans="2:5" x14ac:dyDescent="0.3">
      <c r="D68" s="25"/>
    </row>
    <row r="88" spans="2:5" ht="15" thickBot="1" x14ac:dyDescent="0.35"/>
    <row r="89" spans="2:5" ht="15" thickBot="1" x14ac:dyDescent="0.35">
      <c r="B89" s="54"/>
      <c r="C89" s="53"/>
      <c r="D89" s="52"/>
      <c r="E89" s="53"/>
    </row>
    <row r="90" spans="2:5" x14ac:dyDescent="0.3">
      <c r="D90" s="25"/>
    </row>
    <row r="91" spans="2:5" x14ac:dyDescent="0.3">
      <c r="D91" s="25"/>
    </row>
    <row r="92" spans="2:5" x14ac:dyDescent="0.3">
      <c r="D92" s="25"/>
    </row>
  </sheetData>
  <mergeCells count="20">
    <mergeCell ref="B65:C65"/>
    <mergeCell ref="D65:E65"/>
    <mergeCell ref="B89:C89"/>
    <mergeCell ref="D89:E89"/>
    <mergeCell ref="B58:C58"/>
    <mergeCell ref="D58:E58"/>
    <mergeCell ref="B34:C34"/>
    <mergeCell ref="D34:E34"/>
    <mergeCell ref="B4:C4"/>
    <mergeCell ref="D4:E4"/>
    <mergeCell ref="B23:C23"/>
    <mergeCell ref="D23:E23"/>
    <mergeCell ref="B28:C28"/>
    <mergeCell ref="D28:E28"/>
    <mergeCell ref="B3:F3"/>
    <mergeCell ref="G3:K3"/>
    <mergeCell ref="D11:E11"/>
    <mergeCell ref="B11:C11"/>
    <mergeCell ref="B18:C18"/>
    <mergeCell ref="D18:E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20"/>
  <sheetViews>
    <sheetView topLeftCell="A24" workbookViewId="0">
      <selection activeCell="F126" sqref="F126"/>
    </sheetView>
  </sheetViews>
  <sheetFormatPr defaultColWidth="10.90625" defaultRowHeight="15.6" x14ac:dyDescent="0.3"/>
  <cols>
    <col min="3" max="3" width="23" customWidth="1"/>
    <col min="4" max="4" width="12.453125" bestFit="1" customWidth="1"/>
    <col min="5" max="5" width="12.08984375" bestFit="1" customWidth="1"/>
    <col min="6" max="6" width="13.1796875" bestFit="1" customWidth="1"/>
  </cols>
  <sheetData>
    <row r="1" spans="1:8" ht="21" x14ac:dyDescent="0.4">
      <c r="A1" s="57" t="s">
        <v>8</v>
      </c>
      <c r="B1" s="57"/>
      <c r="C1" s="57"/>
      <c r="D1" s="57"/>
      <c r="E1" s="57"/>
    </row>
    <row r="2" spans="1:8" ht="21" x14ac:dyDescent="0.4">
      <c r="A2" s="2"/>
      <c r="B2" s="2"/>
      <c r="C2" s="2"/>
      <c r="D2" s="2"/>
      <c r="E2" s="2"/>
    </row>
    <row r="3" spans="1:8" ht="21.6" thickBot="1" x14ac:dyDescent="0.45">
      <c r="A3" s="7" t="s">
        <v>11</v>
      </c>
      <c r="B3" s="8">
        <v>1</v>
      </c>
      <c r="C3" s="7" t="s">
        <v>12</v>
      </c>
      <c r="D3" s="80" t="s">
        <v>28</v>
      </c>
      <c r="E3" s="9"/>
      <c r="F3" s="10"/>
    </row>
    <row r="4" spans="1:8" ht="16.2" thickBot="1" x14ac:dyDescent="0.35">
      <c r="A4" s="4" t="s">
        <v>1</v>
      </c>
      <c r="B4" s="5" t="s">
        <v>2</v>
      </c>
      <c r="C4" s="5" t="s">
        <v>10</v>
      </c>
      <c r="D4" s="5" t="s">
        <v>4</v>
      </c>
      <c r="E4" s="5" t="s">
        <v>5</v>
      </c>
      <c r="F4" s="6" t="s">
        <v>9</v>
      </c>
      <c r="H4" s="36"/>
    </row>
    <row r="5" spans="1:8" x14ac:dyDescent="0.3">
      <c r="A5" s="3">
        <f>'LIBRO DIARIO'!G5</f>
        <v>1</v>
      </c>
      <c r="B5" s="37">
        <f>'LIBRO DIARIO'!H5</f>
        <v>46147</v>
      </c>
      <c r="C5" s="3" t="str">
        <f>'LIBRO DIARIO'!I8</f>
        <v>ASIENTO DE APERTURA</v>
      </c>
      <c r="D5" s="39">
        <f>'LIBRO DIARIO'!J5</f>
        <v>1000000</v>
      </c>
      <c r="E5" s="3"/>
      <c r="F5" s="39">
        <f>D5</f>
        <v>1000000</v>
      </c>
    </row>
    <row r="6" spans="1:8" x14ac:dyDescent="0.3">
      <c r="A6" s="1">
        <v>5</v>
      </c>
      <c r="B6" s="38">
        <f>'LIBRO DIARIO'!H28</f>
        <v>46159</v>
      </c>
      <c r="C6" s="1" t="str">
        <f>'LIBRO DIARIO'!I34</f>
        <v>VENTA DE MERCADERIAS</v>
      </c>
      <c r="D6" s="82">
        <f>'LIBRO DIARIO'!J28</f>
        <v>1375000</v>
      </c>
      <c r="E6" s="1"/>
      <c r="F6" s="82">
        <f>F5+D6</f>
        <v>2375000</v>
      </c>
    </row>
    <row r="7" spans="1:8" x14ac:dyDescent="0.3">
      <c r="A7" s="1">
        <v>7</v>
      </c>
      <c r="B7" s="38">
        <f>'LIBRO DIARIO'!H40</f>
        <v>46160</v>
      </c>
      <c r="C7" s="1" t="s">
        <v>68</v>
      </c>
      <c r="D7" s="1"/>
      <c r="E7" s="82">
        <f>D6</f>
        <v>1375000</v>
      </c>
      <c r="F7" s="82">
        <f>F6-E7</f>
        <v>1000000</v>
      </c>
    </row>
    <row r="8" spans="1:8" x14ac:dyDescent="0.3">
      <c r="A8" s="1"/>
      <c r="B8" s="1"/>
      <c r="C8" s="1"/>
      <c r="D8" s="82">
        <f>SUM(D5:D7)</f>
        <v>2375000</v>
      </c>
      <c r="E8" s="82">
        <f>SUM(E7)</f>
        <v>1375000</v>
      </c>
      <c r="F8" s="82"/>
    </row>
    <row r="9" spans="1:8" x14ac:dyDescent="0.3">
      <c r="D9" s="83"/>
      <c r="E9" s="83"/>
    </row>
    <row r="11" spans="1:8" ht="21.6" thickBot="1" x14ac:dyDescent="0.45">
      <c r="A11" s="7" t="s">
        <v>11</v>
      </c>
      <c r="B11" s="8">
        <v>2</v>
      </c>
      <c r="C11" s="7" t="s">
        <v>12</v>
      </c>
      <c r="D11" s="80" t="s">
        <v>29</v>
      </c>
      <c r="E11" s="9"/>
      <c r="F11" s="10"/>
    </row>
    <row r="12" spans="1:8" ht="16.2" thickBot="1" x14ac:dyDescent="0.35">
      <c r="A12" s="4" t="s">
        <v>1</v>
      </c>
      <c r="B12" s="5" t="s">
        <v>2</v>
      </c>
      <c r="C12" s="5" t="s">
        <v>10</v>
      </c>
      <c r="D12" s="5" t="s">
        <v>4</v>
      </c>
      <c r="E12" s="5" t="s">
        <v>5</v>
      </c>
      <c r="F12" s="6" t="s">
        <v>9</v>
      </c>
    </row>
    <row r="13" spans="1:8" x14ac:dyDescent="0.3">
      <c r="A13" s="3">
        <f>'LIBRO DIARIO'!G5</f>
        <v>1</v>
      </c>
      <c r="B13" s="37">
        <f>'LIBRO DIARIO'!H5</f>
        <v>46147</v>
      </c>
      <c r="C13" s="3" t="str">
        <f>C5</f>
        <v>ASIENTO DE APERTURA</v>
      </c>
      <c r="D13" s="39">
        <f>'LIBRO DIARIO'!J6</f>
        <v>46000000</v>
      </c>
      <c r="E13" s="3"/>
      <c r="F13" s="39">
        <f>D13</f>
        <v>46000000</v>
      </c>
    </row>
    <row r="14" spans="1:8" x14ac:dyDescent="0.3">
      <c r="A14" s="1">
        <v>3</v>
      </c>
      <c r="B14" s="38">
        <f>'LIBRO DIARIO'!H17</f>
        <v>46152</v>
      </c>
      <c r="C14" s="1" t="str">
        <f>'LIBRO DIARIO'!I20</f>
        <v>PAGO A CONTADOR, SEGÚN</v>
      </c>
      <c r="D14" s="1"/>
      <c r="E14" s="82">
        <f>'LIBRO DIARIO'!K19</f>
        <v>3600000</v>
      </c>
      <c r="F14" s="82">
        <f>F13-E14</f>
        <v>42400000</v>
      </c>
    </row>
    <row r="15" spans="1:8" x14ac:dyDescent="0.3">
      <c r="A15" s="1">
        <f>'LIBRO DIARIO'!G23</f>
        <v>4</v>
      </c>
      <c r="B15" s="38">
        <f>'LIBRO DIARIO'!H23</f>
        <v>46154</v>
      </c>
      <c r="C15" s="38" t="str">
        <f>'LIBRO DIARIO'!I26</f>
        <v>PAGO DE SERVICIO ANDE</v>
      </c>
      <c r="D15" s="1"/>
      <c r="E15" s="82">
        <f>'LIBRO DIARIO'!K25</f>
        <v>600000</v>
      </c>
      <c r="F15" s="82">
        <f>F14-E15</f>
        <v>41800000</v>
      </c>
    </row>
    <row r="16" spans="1:8" x14ac:dyDescent="0.3">
      <c r="A16" s="1">
        <f>'LIBRO DIARIO'!G40</f>
        <v>7</v>
      </c>
      <c r="B16" s="38">
        <f>'LIBRO DIARIO'!H40</f>
        <v>46160</v>
      </c>
      <c r="C16" s="1" t="str">
        <f>'LIBRO DIARIO'!I42</f>
        <v xml:space="preserve">DEPOSITO EN BANCO DE </v>
      </c>
      <c r="D16" s="82">
        <f>'LIBRO DIARIO'!J40</f>
        <v>1375000</v>
      </c>
      <c r="E16" s="1"/>
      <c r="F16" s="82">
        <f>F15+D16</f>
        <v>43175000</v>
      </c>
    </row>
    <row r="17" spans="1:6" x14ac:dyDescent="0.3">
      <c r="D17" s="83">
        <f>SUM(D13:D16)</f>
        <v>47375000</v>
      </c>
      <c r="E17" s="83">
        <f>SUM(E14:E16)</f>
        <v>4200000</v>
      </c>
      <c r="F17" s="83"/>
    </row>
    <row r="19" spans="1:6" ht="21.6" thickBot="1" x14ac:dyDescent="0.45">
      <c r="A19" s="7" t="s">
        <v>11</v>
      </c>
      <c r="B19" s="8">
        <v>3</v>
      </c>
      <c r="C19" s="7" t="s">
        <v>12</v>
      </c>
      <c r="D19" s="80" t="s">
        <v>31</v>
      </c>
      <c r="E19" s="9"/>
      <c r="F19" s="10"/>
    </row>
    <row r="20" spans="1:6" ht="16.2" thickBot="1" x14ac:dyDescent="0.35">
      <c r="A20" s="4" t="s">
        <v>1</v>
      </c>
      <c r="B20" s="5" t="s">
        <v>2</v>
      </c>
      <c r="C20" s="5" t="s">
        <v>10</v>
      </c>
      <c r="D20" s="5" t="s">
        <v>4</v>
      </c>
      <c r="E20" s="5" t="s">
        <v>5</v>
      </c>
      <c r="F20" s="6" t="s">
        <v>9</v>
      </c>
    </row>
    <row r="21" spans="1:6" x14ac:dyDescent="0.3">
      <c r="A21" s="3">
        <v>1</v>
      </c>
      <c r="B21" s="37">
        <f>B13</f>
        <v>46147</v>
      </c>
      <c r="C21" s="3" t="str">
        <f>C13</f>
        <v>ASIENTO DE APERTURA</v>
      </c>
      <c r="D21" s="3"/>
      <c r="E21" s="39">
        <f>'LIBRO DIARIO'!K7</f>
        <v>47000000</v>
      </c>
      <c r="F21" s="39">
        <f>E21</f>
        <v>47000000</v>
      </c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>
        <v>0</v>
      </c>
      <c r="E24" s="82">
        <f>E21</f>
        <v>47000000</v>
      </c>
      <c r="F24" s="82">
        <f>E24</f>
        <v>47000000</v>
      </c>
    </row>
    <row r="27" spans="1:6" ht="21.6" thickBot="1" x14ac:dyDescent="0.45">
      <c r="A27" s="7" t="s">
        <v>11</v>
      </c>
      <c r="B27" s="8">
        <v>4</v>
      </c>
      <c r="C27" s="7" t="s">
        <v>12</v>
      </c>
      <c r="D27" s="80" t="s">
        <v>34</v>
      </c>
      <c r="E27" s="9"/>
      <c r="F27" s="10"/>
    </row>
    <row r="28" spans="1:6" ht="16.2" thickBot="1" x14ac:dyDescent="0.35">
      <c r="A28" s="4" t="s">
        <v>1</v>
      </c>
      <c r="B28" s="5" t="s">
        <v>2</v>
      </c>
      <c r="C28" s="5" t="s">
        <v>10</v>
      </c>
      <c r="D28" s="5" t="s">
        <v>4</v>
      </c>
      <c r="E28" s="5" t="s">
        <v>5</v>
      </c>
      <c r="F28" s="6" t="s">
        <v>9</v>
      </c>
    </row>
    <row r="29" spans="1:6" x14ac:dyDescent="0.3">
      <c r="A29" s="3">
        <f>'LIBRO DIARIO'!G11</f>
        <v>2</v>
      </c>
      <c r="B29" s="37">
        <f>'LIBRO DIARIO'!H11</f>
        <v>46151</v>
      </c>
      <c r="C29" s="3" t="str">
        <f>'LIBRO DIARIO'!I14</f>
        <v>COMPRA DE MOCHILAS SEGÚN</v>
      </c>
      <c r="D29" s="39">
        <f>'LIBRO DIARIO'!J11</f>
        <v>3636363.6363636362</v>
      </c>
      <c r="E29" s="39"/>
      <c r="F29" s="39">
        <f>D29</f>
        <v>3636363.6363636362</v>
      </c>
    </row>
    <row r="30" spans="1:6" x14ac:dyDescent="0.3">
      <c r="A30" s="1">
        <f>'LIBRO DIARIO'!G36</f>
        <v>6</v>
      </c>
      <c r="B30" s="38">
        <f>'LIBRO DIARIO'!H36</f>
        <v>46159</v>
      </c>
      <c r="C30" s="1" t="str">
        <f>'LIBRO DIARIO'!I38</f>
        <v>COSTEO DE VENTAS</v>
      </c>
      <c r="D30" s="1"/>
      <c r="E30" s="82">
        <f>'LIBRO DIARIO'!K37</f>
        <v>1818182</v>
      </c>
      <c r="F30" s="82">
        <f>F29-E30</f>
        <v>1818181.6363636362</v>
      </c>
    </row>
    <row r="31" spans="1:6" x14ac:dyDescent="0.3">
      <c r="A31" s="1"/>
      <c r="B31" s="1"/>
      <c r="C31" s="1"/>
      <c r="D31" s="1"/>
      <c r="E31" s="1"/>
      <c r="F31" s="1"/>
    </row>
    <row r="32" spans="1:6" x14ac:dyDescent="0.3">
      <c r="A32" s="1"/>
      <c r="B32" s="1"/>
      <c r="C32" s="1"/>
      <c r="D32" s="82">
        <f>D29</f>
        <v>3636363.6363636362</v>
      </c>
      <c r="E32" s="82">
        <f>E30</f>
        <v>1818182</v>
      </c>
      <c r="F32" s="82"/>
    </row>
    <row r="35" spans="1:6" ht="21.6" thickBot="1" x14ac:dyDescent="0.45">
      <c r="A35" s="7" t="s">
        <v>11</v>
      </c>
      <c r="B35" s="8">
        <v>5</v>
      </c>
      <c r="C35" s="7" t="s">
        <v>12</v>
      </c>
      <c r="D35" s="80" t="s">
        <v>38</v>
      </c>
      <c r="E35" s="9"/>
      <c r="F35" s="10"/>
    </row>
    <row r="36" spans="1:6" ht="16.2" thickBot="1" x14ac:dyDescent="0.35">
      <c r="A36" s="4" t="s">
        <v>1</v>
      </c>
      <c r="B36" s="5" t="s">
        <v>2</v>
      </c>
      <c r="C36" s="5" t="s">
        <v>10</v>
      </c>
      <c r="D36" s="5" t="s">
        <v>4</v>
      </c>
      <c r="E36" s="5" t="s">
        <v>5</v>
      </c>
      <c r="F36" s="6" t="s">
        <v>9</v>
      </c>
    </row>
    <row r="37" spans="1:6" x14ac:dyDescent="0.3">
      <c r="A37" s="3">
        <v>2</v>
      </c>
      <c r="B37" s="37">
        <v>46151</v>
      </c>
      <c r="C37" s="3" t="str">
        <f>'LIBRO DIARIO'!I14</f>
        <v>COMPRA DE MOCHILAS SEGÚN</v>
      </c>
      <c r="D37" s="39">
        <f>'LIBRO DIARIO'!J12</f>
        <v>363636.36363636365</v>
      </c>
      <c r="E37" s="3"/>
      <c r="F37" s="39">
        <f>D37</f>
        <v>363636.36363636365</v>
      </c>
    </row>
    <row r="38" spans="1:6" x14ac:dyDescent="0.3">
      <c r="A38" s="1">
        <f>'LIBRO DIARIO'!G17</f>
        <v>3</v>
      </c>
      <c r="B38" s="38">
        <f>'LIBRO DIARIO'!H17</f>
        <v>46152</v>
      </c>
      <c r="C38" s="1" t="str">
        <f>'LIBRO DIARIO'!I20</f>
        <v>PAGO A CONTADOR, SEGÚN</v>
      </c>
      <c r="D38" s="82">
        <f>'LIBRO DIARIO'!J18</f>
        <v>327272.72727272729</v>
      </c>
      <c r="E38" s="1"/>
      <c r="F38" s="82">
        <f>F37+D38</f>
        <v>690909.09090909094</v>
      </c>
    </row>
    <row r="39" spans="1:6" x14ac:dyDescent="0.3">
      <c r="A39" s="1">
        <v>4</v>
      </c>
      <c r="B39" s="38">
        <f>'LIBRO DIARIO'!H23</f>
        <v>46154</v>
      </c>
      <c r="C39" s="1" t="str">
        <f>'LIBRO DIARIO'!I26</f>
        <v>PAGO DE SERVICIO ANDE</v>
      </c>
      <c r="D39" s="82">
        <f>'LIBRO DIARIO'!J24</f>
        <v>54545.454545454544</v>
      </c>
      <c r="E39" s="1"/>
      <c r="F39" s="82">
        <f>F38+D39</f>
        <v>745454.54545454553</v>
      </c>
    </row>
    <row r="40" spans="1:6" x14ac:dyDescent="0.3">
      <c r="A40" s="1"/>
      <c r="B40" s="38"/>
      <c r="C40" s="1"/>
      <c r="D40" s="82">
        <f>SUM(D37:D39)</f>
        <v>745454.54545454553</v>
      </c>
      <c r="E40" s="1">
        <v>0</v>
      </c>
      <c r="F40" s="82"/>
    </row>
    <row r="43" spans="1:6" ht="21.6" thickBot="1" x14ac:dyDescent="0.45">
      <c r="A43" s="7" t="s">
        <v>11</v>
      </c>
      <c r="B43" s="8">
        <v>6</v>
      </c>
      <c r="C43" s="7" t="s">
        <v>12</v>
      </c>
      <c r="D43" s="80" t="s">
        <v>39</v>
      </c>
      <c r="E43" s="9"/>
      <c r="F43" s="10"/>
    </row>
    <row r="44" spans="1:6" ht="16.2" thickBot="1" x14ac:dyDescent="0.35">
      <c r="A44" s="4" t="s">
        <v>1</v>
      </c>
      <c r="B44" s="5" t="s">
        <v>2</v>
      </c>
      <c r="C44" s="5" t="s">
        <v>10</v>
      </c>
      <c r="D44" s="5" t="s">
        <v>4</v>
      </c>
      <c r="E44" s="5" t="s">
        <v>5</v>
      </c>
      <c r="F44" s="6" t="s">
        <v>9</v>
      </c>
    </row>
    <row r="45" spans="1:6" x14ac:dyDescent="0.3">
      <c r="A45" s="3">
        <v>2</v>
      </c>
      <c r="B45" s="37">
        <v>46151</v>
      </c>
      <c r="C45" s="3" t="str">
        <f>'LIBRO DIARIO'!I14</f>
        <v>COMPRA DE MOCHILAS SEGÚN</v>
      </c>
      <c r="D45" s="3"/>
      <c r="E45" s="39">
        <f>'LIBRO DIARIO'!K13</f>
        <v>4000000</v>
      </c>
      <c r="F45" s="39">
        <f>E45</f>
        <v>4000000</v>
      </c>
    </row>
    <row r="46" spans="1:6" x14ac:dyDescent="0.3">
      <c r="A46" s="1"/>
      <c r="B46" s="1"/>
      <c r="C46" s="1"/>
      <c r="D46" s="1"/>
      <c r="E46" s="1"/>
      <c r="F46" s="1"/>
    </row>
    <row r="47" spans="1:6" x14ac:dyDescent="0.3">
      <c r="A47" s="1"/>
      <c r="B47" s="1"/>
      <c r="C47" s="1"/>
      <c r="D47" s="1"/>
      <c r="E47" s="1"/>
      <c r="F47" s="1"/>
    </row>
    <row r="48" spans="1:6" x14ac:dyDescent="0.3">
      <c r="A48" s="1"/>
      <c r="B48" s="1"/>
      <c r="C48" s="1"/>
      <c r="D48" s="1">
        <v>0</v>
      </c>
      <c r="E48" s="82">
        <f>E45</f>
        <v>4000000</v>
      </c>
      <c r="F48" s="82">
        <f>E48</f>
        <v>4000000</v>
      </c>
    </row>
    <row r="51" spans="1:6" ht="21.6" thickBot="1" x14ac:dyDescent="0.45">
      <c r="A51" s="7" t="s">
        <v>11</v>
      </c>
      <c r="B51" s="8">
        <v>7</v>
      </c>
      <c r="C51" s="7" t="s">
        <v>12</v>
      </c>
      <c r="D51" s="80" t="s">
        <v>43</v>
      </c>
      <c r="E51" s="9"/>
      <c r="F51" s="10"/>
    </row>
    <row r="52" spans="1:6" ht="16.2" thickBot="1" x14ac:dyDescent="0.35">
      <c r="A52" s="4" t="s">
        <v>1</v>
      </c>
      <c r="B52" s="5" t="s">
        <v>2</v>
      </c>
      <c r="C52" s="5" t="s">
        <v>10</v>
      </c>
      <c r="D52" s="5" t="s">
        <v>4</v>
      </c>
      <c r="E52" s="5" t="s">
        <v>5</v>
      </c>
      <c r="F52" s="6" t="s">
        <v>9</v>
      </c>
    </row>
    <row r="53" spans="1:6" x14ac:dyDescent="0.3">
      <c r="A53" s="3">
        <v>3</v>
      </c>
      <c r="B53" s="37">
        <v>46152</v>
      </c>
      <c r="C53" s="3" t="str">
        <f>'LIBRO DIARIO'!I20</f>
        <v>PAGO A CONTADOR, SEGÚN</v>
      </c>
      <c r="D53" s="39">
        <f>'LIBRO DIARIO'!J17</f>
        <v>3272727.2727272725</v>
      </c>
      <c r="E53" s="3"/>
      <c r="F53" s="39">
        <f>D53</f>
        <v>3272727.2727272725</v>
      </c>
    </row>
    <row r="54" spans="1:6" x14ac:dyDescent="0.3">
      <c r="A54" s="1"/>
      <c r="B54" s="1"/>
      <c r="C54" s="1"/>
      <c r="D54" s="1"/>
      <c r="E54" s="1"/>
      <c r="F54" s="1"/>
    </row>
    <row r="55" spans="1:6" x14ac:dyDescent="0.3">
      <c r="A55" s="1"/>
      <c r="B55" s="1"/>
      <c r="C55" s="1"/>
      <c r="D55" s="1"/>
      <c r="E55" s="1"/>
      <c r="F55" s="1"/>
    </row>
    <row r="56" spans="1:6" x14ac:dyDescent="0.3">
      <c r="A56" s="1"/>
      <c r="B56" s="1"/>
      <c r="C56" s="1"/>
      <c r="D56" s="82">
        <f>D53</f>
        <v>3272727.2727272725</v>
      </c>
      <c r="E56" s="1">
        <v>0</v>
      </c>
      <c r="F56" s="82">
        <f>F53</f>
        <v>3272727.2727272725</v>
      </c>
    </row>
    <row r="59" spans="1:6" ht="21.6" thickBot="1" x14ac:dyDescent="0.45">
      <c r="A59" s="7" t="s">
        <v>11</v>
      </c>
      <c r="B59" s="8">
        <v>8</v>
      </c>
      <c r="C59" s="7" t="s">
        <v>12</v>
      </c>
      <c r="D59" s="80" t="s">
        <v>46</v>
      </c>
      <c r="E59" s="9"/>
      <c r="F59" s="10"/>
    </row>
    <row r="60" spans="1:6" ht="16.2" thickBot="1" x14ac:dyDescent="0.35">
      <c r="A60" s="4" t="s">
        <v>1</v>
      </c>
      <c r="B60" s="5" t="s">
        <v>2</v>
      </c>
      <c r="C60" s="5" t="s">
        <v>10</v>
      </c>
      <c r="D60" s="5" t="s">
        <v>4</v>
      </c>
      <c r="E60" s="5" t="s">
        <v>5</v>
      </c>
      <c r="F60" s="6" t="s">
        <v>9</v>
      </c>
    </row>
    <row r="61" spans="1:6" x14ac:dyDescent="0.3">
      <c r="A61" s="3">
        <f>'LIBRO DIARIO'!G23</f>
        <v>4</v>
      </c>
      <c r="B61" s="37">
        <f>'LIBRO DIARIO'!H23</f>
        <v>46154</v>
      </c>
      <c r="C61" s="3" t="str">
        <f>'LIBRO DIARIO'!I26</f>
        <v>PAGO DE SERVICIO ANDE</v>
      </c>
      <c r="D61" s="39">
        <f>'LIBRO DIARIO'!J23</f>
        <v>545454.54545454541</v>
      </c>
      <c r="E61" s="3"/>
      <c r="F61" s="39">
        <f>D61</f>
        <v>545454.54545454541</v>
      </c>
    </row>
    <row r="62" spans="1:6" x14ac:dyDescent="0.3">
      <c r="A62" s="1"/>
      <c r="B62" s="1"/>
      <c r="C62" s="1"/>
      <c r="D62" s="1"/>
      <c r="E62" s="1"/>
      <c r="F62" s="1"/>
    </row>
    <row r="63" spans="1:6" x14ac:dyDescent="0.3">
      <c r="A63" s="1"/>
      <c r="B63" s="1"/>
      <c r="C63" s="1"/>
      <c r="D63" s="1"/>
      <c r="E63" s="1"/>
      <c r="F63" s="1"/>
    </row>
    <row r="64" spans="1:6" x14ac:dyDescent="0.3">
      <c r="A64" s="1"/>
      <c r="B64" s="1"/>
      <c r="C64" s="1"/>
      <c r="D64" s="82">
        <f>D61</f>
        <v>545454.54545454541</v>
      </c>
      <c r="E64" s="1">
        <v>0</v>
      </c>
      <c r="F64" s="82">
        <f>D64</f>
        <v>545454.54545454541</v>
      </c>
    </row>
    <row r="67" spans="1:6" ht="21.6" thickBot="1" x14ac:dyDescent="0.45">
      <c r="A67" s="7" t="s">
        <v>11</v>
      </c>
      <c r="B67" s="8">
        <v>9</v>
      </c>
      <c r="C67" s="7" t="s">
        <v>12</v>
      </c>
      <c r="D67" s="80" t="s">
        <v>50</v>
      </c>
      <c r="E67" s="9"/>
      <c r="F67" s="10"/>
    </row>
    <row r="68" spans="1:6" ht="16.2" thickBot="1" x14ac:dyDescent="0.35">
      <c r="A68" s="4" t="s">
        <v>1</v>
      </c>
      <c r="B68" s="5" t="s">
        <v>2</v>
      </c>
      <c r="C68" s="5" t="s">
        <v>10</v>
      </c>
      <c r="D68" s="5" t="s">
        <v>4</v>
      </c>
      <c r="E68" s="5" t="s">
        <v>5</v>
      </c>
      <c r="F68" s="6" t="s">
        <v>9</v>
      </c>
    </row>
    <row r="69" spans="1:6" x14ac:dyDescent="0.3">
      <c r="A69" s="3">
        <v>5</v>
      </c>
      <c r="B69" s="37">
        <f>'LIBRO DIARIO'!H28</f>
        <v>46159</v>
      </c>
      <c r="C69" s="3" t="str">
        <f>'LIBRO DIARIO'!I34</f>
        <v>VENTA DE MERCADERIAS</v>
      </c>
      <c r="D69" s="39">
        <f>'LIBRO DIARIO'!J29</f>
        <v>1375000</v>
      </c>
      <c r="E69" s="3"/>
      <c r="F69" s="39">
        <f>D69</f>
        <v>1375000</v>
      </c>
    </row>
    <row r="70" spans="1:6" x14ac:dyDescent="0.3">
      <c r="A70" s="1"/>
      <c r="B70" s="38"/>
      <c r="C70" s="1"/>
      <c r="D70" s="1"/>
      <c r="E70" s="1"/>
      <c r="F70" s="1"/>
    </row>
    <row r="71" spans="1:6" x14ac:dyDescent="0.3">
      <c r="A71" s="1"/>
      <c r="B71" s="38"/>
      <c r="C71" s="1"/>
      <c r="D71" s="1"/>
      <c r="E71" s="1"/>
      <c r="F71" s="1"/>
    </row>
    <row r="72" spans="1:6" x14ac:dyDescent="0.3">
      <c r="A72" s="1"/>
      <c r="B72" s="38"/>
      <c r="C72" s="1"/>
      <c r="D72" s="82">
        <f>D69</f>
        <v>1375000</v>
      </c>
      <c r="E72" s="1">
        <v>0</v>
      </c>
      <c r="F72" s="82">
        <f>F69</f>
        <v>1375000</v>
      </c>
    </row>
    <row r="75" spans="1:6" ht="21.6" thickBot="1" x14ac:dyDescent="0.45">
      <c r="A75" s="7" t="s">
        <v>11</v>
      </c>
      <c r="B75" s="8">
        <v>10</v>
      </c>
      <c r="C75" s="7" t="s">
        <v>12</v>
      </c>
      <c r="D75" s="80" t="s">
        <v>51</v>
      </c>
      <c r="E75" s="9"/>
      <c r="F75" s="10"/>
    </row>
    <row r="76" spans="1:6" ht="16.2" thickBot="1" x14ac:dyDescent="0.35">
      <c r="A76" s="4" t="s">
        <v>1</v>
      </c>
      <c r="B76" s="5" t="s">
        <v>2</v>
      </c>
      <c r="C76" s="5" t="s">
        <v>10</v>
      </c>
      <c r="D76" s="5" t="s">
        <v>4</v>
      </c>
      <c r="E76" s="5" t="s">
        <v>5</v>
      </c>
      <c r="F76" s="6" t="s">
        <v>9</v>
      </c>
    </row>
    <row r="77" spans="1:6" x14ac:dyDescent="0.3">
      <c r="A77" s="3">
        <v>5</v>
      </c>
      <c r="B77" s="37">
        <f>B69</f>
        <v>46159</v>
      </c>
      <c r="C77" s="3" t="str">
        <f>'LIBRO DIARIO'!I34</f>
        <v>VENTA DE MERCADERIAS</v>
      </c>
      <c r="D77" s="39">
        <f>'LIBRO DIARIO'!J30</f>
        <v>8021</v>
      </c>
      <c r="E77" s="3"/>
      <c r="F77" s="39">
        <f>D77</f>
        <v>8021</v>
      </c>
    </row>
    <row r="78" spans="1:6" x14ac:dyDescent="0.3">
      <c r="A78" s="1"/>
      <c r="B78" s="1"/>
      <c r="C78" s="1"/>
      <c r="D78" s="1"/>
      <c r="E78" s="1"/>
      <c r="F78" s="1"/>
    </row>
    <row r="79" spans="1:6" x14ac:dyDescent="0.3">
      <c r="A79" s="1"/>
      <c r="B79" s="1"/>
      <c r="C79" s="1"/>
      <c r="D79" s="1"/>
      <c r="E79" s="1"/>
      <c r="F79" s="1"/>
    </row>
    <row r="80" spans="1:6" x14ac:dyDescent="0.3">
      <c r="A80" s="1"/>
      <c r="B80" s="1"/>
      <c r="C80" s="1"/>
      <c r="D80" s="82">
        <f>D77</f>
        <v>8021</v>
      </c>
      <c r="E80" s="1">
        <v>0</v>
      </c>
      <c r="F80" s="82">
        <f>D80</f>
        <v>8021</v>
      </c>
    </row>
    <row r="83" spans="1:6" ht="21.6" thickBot="1" x14ac:dyDescent="0.45">
      <c r="A83" s="7" t="s">
        <v>11</v>
      </c>
      <c r="B83" s="8">
        <v>11</v>
      </c>
      <c r="C83" s="7" t="s">
        <v>12</v>
      </c>
      <c r="D83" s="80" t="s">
        <v>52</v>
      </c>
      <c r="E83" s="9"/>
      <c r="F83" s="10"/>
    </row>
    <row r="84" spans="1:6" ht="16.2" thickBot="1" x14ac:dyDescent="0.35">
      <c r="A84" s="4" t="s">
        <v>1</v>
      </c>
      <c r="B84" s="5" t="s">
        <v>2</v>
      </c>
      <c r="C84" s="5" t="s">
        <v>10</v>
      </c>
      <c r="D84" s="5" t="s">
        <v>4</v>
      </c>
      <c r="E84" s="5" t="s">
        <v>5</v>
      </c>
      <c r="F84" s="6" t="s">
        <v>9</v>
      </c>
    </row>
    <row r="85" spans="1:6" x14ac:dyDescent="0.3">
      <c r="A85" s="3">
        <v>5</v>
      </c>
      <c r="B85" s="37">
        <f>'LIBRO DIARIO'!H28</f>
        <v>46159</v>
      </c>
      <c r="C85" s="3" t="str">
        <f>'LIBRO DIARIO'!I34</f>
        <v>VENTA DE MERCADERIAS</v>
      </c>
      <c r="D85" s="39"/>
      <c r="E85" s="39">
        <f>'LIBRO DIARIO'!K31</f>
        <v>2500000</v>
      </c>
      <c r="F85" s="39">
        <f>E85</f>
        <v>2500000</v>
      </c>
    </row>
    <row r="86" spans="1:6" x14ac:dyDescent="0.3">
      <c r="A86" s="1"/>
      <c r="B86" s="1"/>
      <c r="C86" s="1"/>
      <c r="D86" s="1"/>
      <c r="E86" s="1"/>
      <c r="F86" s="1"/>
    </row>
    <row r="87" spans="1:6" x14ac:dyDescent="0.3">
      <c r="A87" s="1"/>
      <c r="B87" s="1"/>
      <c r="C87" s="1"/>
      <c r="D87" s="1"/>
      <c r="E87" s="1"/>
      <c r="F87" s="1"/>
    </row>
    <row r="88" spans="1:6" x14ac:dyDescent="0.3">
      <c r="A88" s="1"/>
      <c r="B88" s="1"/>
      <c r="C88" s="1"/>
      <c r="D88" s="1">
        <f>0</f>
        <v>0</v>
      </c>
      <c r="E88" s="82">
        <f>E85</f>
        <v>2500000</v>
      </c>
      <c r="F88" s="82">
        <f>E88</f>
        <v>2500000</v>
      </c>
    </row>
    <row r="91" spans="1:6" ht="21.6" thickBot="1" x14ac:dyDescent="0.45">
      <c r="A91" s="7" t="s">
        <v>11</v>
      </c>
      <c r="B91" s="8">
        <v>12</v>
      </c>
      <c r="C91" s="7" t="s">
        <v>12</v>
      </c>
      <c r="D91" s="80" t="s">
        <v>53</v>
      </c>
      <c r="E91" s="9"/>
      <c r="F91" s="10"/>
    </row>
    <row r="92" spans="1:6" ht="16.2" thickBot="1" x14ac:dyDescent="0.35">
      <c r="A92" s="4" t="s">
        <v>1</v>
      </c>
      <c r="B92" s="5" t="s">
        <v>2</v>
      </c>
      <c r="C92" s="5" t="s">
        <v>10</v>
      </c>
      <c r="D92" s="5" t="s">
        <v>4</v>
      </c>
      <c r="E92" s="5" t="s">
        <v>5</v>
      </c>
      <c r="F92" s="6" t="s">
        <v>9</v>
      </c>
    </row>
    <row r="93" spans="1:6" x14ac:dyDescent="0.3">
      <c r="A93" s="3">
        <v>5</v>
      </c>
      <c r="B93" s="37">
        <f>B85</f>
        <v>46159</v>
      </c>
      <c r="C93" s="3" t="str">
        <f>C85</f>
        <v>VENTA DE MERCADERIAS</v>
      </c>
      <c r="D93" s="39"/>
      <c r="E93" s="39">
        <f>'LIBRO DIARIO'!K32</f>
        <v>250000</v>
      </c>
      <c r="F93" s="39">
        <f>E93</f>
        <v>250000</v>
      </c>
    </row>
    <row r="94" spans="1:6" x14ac:dyDescent="0.3">
      <c r="A94" s="1"/>
      <c r="B94" s="1"/>
      <c r="C94" s="1"/>
      <c r="D94" s="1"/>
      <c r="E94" s="1"/>
      <c r="F94" s="1"/>
    </row>
    <row r="95" spans="1:6" x14ac:dyDescent="0.3">
      <c r="A95" s="1"/>
      <c r="B95" s="1"/>
      <c r="C95" s="1"/>
      <c r="D95" s="1"/>
      <c r="E95" s="1"/>
      <c r="F95" s="1"/>
    </row>
    <row r="96" spans="1:6" x14ac:dyDescent="0.3">
      <c r="A96" s="1"/>
      <c r="B96" s="1"/>
      <c r="C96" s="1"/>
      <c r="D96" s="1">
        <v>0</v>
      </c>
      <c r="E96" s="82">
        <f>E93</f>
        <v>250000</v>
      </c>
      <c r="F96" s="82">
        <f>F93</f>
        <v>250000</v>
      </c>
    </row>
    <row r="99" spans="1:6" ht="21.6" thickBot="1" x14ac:dyDescent="0.45">
      <c r="A99" s="7" t="s">
        <v>11</v>
      </c>
      <c r="B99" s="8">
        <v>13</v>
      </c>
      <c r="C99" s="7" t="s">
        <v>12</v>
      </c>
      <c r="D99" s="80" t="s">
        <v>54</v>
      </c>
      <c r="E99" s="9"/>
      <c r="F99" s="10"/>
    </row>
    <row r="100" spans="1:6" ht="16.2" thickBot="1" x14ac:dyDescent="0.35">
      <c r="A100" s="4" t="s">
        <v>1</v>
      </c>
      <c r="B100" s="5" t="s">
        <v>2</v>
      </c>
      <c r="C100" s="5" t="s">
        <v>10</v>
      </c>
      <c r="D100" s="5" t="s">
        <v>4</v>
      </c>
      <c r="E100" s="5" t="s">
        <v>5</v>
      </c>
      <c r="F100" s="6" t="s">
        <v>9</v>
      </c>
    </row>
    <row r="101" spans="1:6" x14ac:dyDescent="0.3">
      <c r="A101" s="3">
        <f>A93</f>
        <v>5</v>
      </c>
      <c r="B101" s="37">
        <f>B93</f>
        <v>46159</v>
      </c>
      <c r="C101" s="3" t="str">
        <f>C93</f>
        <v>VENTA DE MERCADERIAS</v>
      </c>
      <c r="D101" s="39"/>
      <c r="E101" s="39">
        <f>'LIBRO DIARIO'!K33</f>
        <v>8021</v>
      </c>
      <c r="F101" s="39">
        <f>E101</f>
        <v>8021</v>
      </c>
    </row>
    <row r="102" spans="1:6" x14ac:dyDescent="0.3">
      <c r="A102" s="1"/>
      <c r="B102" s="1"/>
      <c r="C102" s="1"/>
      <c r="D102" s="1"/>
      <c r="E102" s="1"/>
      <c r="F102" s="1"/>
    </row>
    <row r="103" spans="1:6" x14ac:dyDescent="0.3">
      <c r="A103" s="1"/>
      <c r="B103" s="1"/>
      <c r="C103" s="1"/>
      <c r="D103" s="1"/>
      <c r="E103" s="1"/>
      <c r="F103" s="1"/>
    </row>
    <row r="104" spans="1:6" x14ac:dyDescent="0.3">
      <c r="A104" s="1"/>
      <c r="B104" s="1"/>
      <c r="C104" s="1"/>
      <c r="D104" s="1">
        <v>0</v>
      </c>
      <c r="E104" s="82">
        <f>E101</f>
        <v>8021</v>
      </c>
      <c r="F104" s="82">
        <f>F101</f>
        <v>8021</v>
      </c>
    </row>
    <row r="107" spans="1:6" ht="21.6" thickBot="1" x14ac:dyDescent="0.45">
      <c r="A107" s="7" t="s">
        <v>11</v>
      </c>
      <c r="B107" s="8">
        <v>14</v>
      </c>
      <c r="C107" s="7" t="s">
        <v>12</v>
      </c>
      <c r="D107" s="80" t="s">
        <v>55</v>
      </c>
      <c r="E107" s="9"/>
      <c r="F107" s="10"/>
    </row>
    <row r="108" spans="1:6" ht="16.2" thickBot="1" x14ac:dyDescent="0.35">
      <c r="A108" s="4" t="s">
        <v>1</v>
      </c>
      <c r="B108" s="5" t="s">
        <v>2</v>
      </c>
      <c r="C108" s="5" t="s">
        <v>10</v>
      </c>
      <c r="D108" s="5" t="s">
        <v>4</v>
      </c>
      <c r="E108" s="5" t="s">
        <v>5</v>
      </c>
      <c r="F108" s="6" t="s">
        <v>9</v>
      </c>
    </row>
    <row r="109" spans="1:6" x14ac:dyDescent="0.3">
      <c r="A109" s="3">
        <f>'LIBRO DIARIO'!G36</f>
        <v>6</v>
      </c>
      <c r="B109" s="37">
        <f>'LIBRO DIARIO'!H36</f>
        <v>46159</v>
      </c>
      <c r="C109" s="3" t="str">
        <f>'LIBRO DIARIO'!I38</f>
        <v>COSTEO DE VENTAS</v>
      </c>
      <c r="D109" s="39">
        <f>'LIBRO DIARIO'!J36</f>
        <v>1818182</v>
      </c>
      <c r="E109" s="3"/>
      <c r="F109" s="39">
        <f>D109</f>
        <v>1818182</v>
      </c>
    </row>
    <row r="110" spans="1:6" x14ac:dyDescent="0.3">
      <c r="A110" s="1"/>
      <c r="B110" s="1"/>
      <c r="C110" s="1"/>
      <c r="D110" s="1"/>
      <c r="E110" s="1"/>
      <c r="F110" s="1"/>
    </row>
    <row r="111" spans="1:6" x14ac:dyDescent="0.3">
      <c r="A111" s="1"/>
      <c r="B111" s="1"/>
      <c r="C111" s="1"/>
      <c r="D111" s="1"/>
      <c r="E111" s="1"/>
      <c r="F111" s="1"/>
    </row>
    <row r="112" spans="1:6" x14ac:dyDescent="0.3">
      <c r="A112" s="1"/>
      <c r="B112" s="1"/>
      <c r="C112" s="1"/>
      <c r="D112" s="82">
        <f>D109</f>
        <v>1818182</v>
      </c>
      <c r="E112" s="1">
        <v>0</v>
      </c>
      <c r="F112" s="82">
        <f>F109</f>
        <v>1818182</v>
      </c>
    </row>
    <row r="115" spans="1:6" ht="21.6" thickBot="1" x14ac:dyDescent="0.45">
      <c r="A115" s="7" t="s">
        <v>11</v>
      </c>
      <c r="B115" s="8"/>
      <c r="C115" s="7" t="s">
        <v>12</v>
      </c>
      <c r="D115" s="80"/>
      <c r="E115" s="9"/>
      <c r="F115" s="10"/>
    </row>
    <row r="116" spans="1:6" ht="16.2" thickBot="1" x14ac:dyDescent="0.35">
      <c r="A116" s="4" t="s">
        <v>1</v>
      </c>
      <c r="B116" s="5" t="s">
        <v>2</v>
      </c>
      <c r="C116" s="5" t="s">
        <v>10</v>
      </c>
      <c r="D116" s="5" t="s">
        <v>4</v>
      </c>
      <c r="E116" s="5" t="s">
        <v>5</v>
      </c>
      <c r="F116" s="6" t="s">
        <v>9</v>
      </c>
    </row>
    <row r="117" spans="1:6" x14ac:dyDescent="0.3">
      <c r="A117" s="3"/>
      <c r="B117" s="37"/>
      <c r="C117" s="3"/>
      <c r="D117" s="39"/>
      <c r="E117" s="3"/>
      <c r="F117" s="39"/>
    </row>
    <row r="118" spans="1:6" x14ac:dyDescent="0.3">
      <c r="A118" s="1"/>
      <c r="B118" s="1"/>
      <c r="C118" s="1"/>
      <c r="D118" s="1"/>
      <c r="E118" s="1"/>
      <c r="F118" s="1"/>
    </row>
    <row r="119" spans="1:6" x14ac:dyDescent="0.3">
      <c r="A119" s="1"/>
      <c r="B119" s="1"/>
      <c r="C119" s="1"/>
      <c r="D119" s="1"/>
      <c r="E119" s="1"/>
      <c r="F119" s="1"/>
    </row>
    <row r="120" spans="1:6" x14ac:dyDescent="0.3">
      <c r="A120" s="1"/>
      <c r="B120" s="1"/>
      <c r="C120" s="1"/>
      <c r="D120" s="1"/>
      <c r="E120" s="1"/>
      <c r="F120" s="1"/>
    </row>
  </sheetData>
  <mergeCells count="1">
    <mergeCell ref="A1:E1"/>
  </mergeCells>
  <pageMargins left="0.7" right="0.7" top="0.75" bottom="0.75" header="0.3" footer="0.3"/>
  <pageSetup paperSize="1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28"/>
  <sheetViews>
    <sheetView tabSelected="1" workbookViewId="0">
      <selection activeCell="L17" sqref="L17"/>
    </sheetView>
  </sheetViews>
  <sheetFormatPr defaultColWidth="10.90625" defaultRowHeight="15.6" x14ac:dyDescent="0.3"/>
  <cols>
    <col min="2" max="2" width="26.36328125" customWidth="1"/>
    <col min="5" max="5" width="11.6328125" bestFit="1" customWidth="1"/>
    <col min="7" max="7" width="13.453125" customWidth="1"/>
    <col min="8" max="8" width="13.81640625" customWidth="1"/>
    <col min="9" max="9" width="14.90625" bestFit="1" customWidth="1"/>
    <col min="10" max="10" width="15.6328125" customWidth="1"/>
  </cols>
  <sheetData>
    <row r="1" spans="1:12" ht="21" x14ac:dyDescent="0.4">
      <c r="A1" s="11" t="s">
        <v>13</v>
      </c>
      <c r="B1" s="11"/>
      <c r="C1" s="11"/>
      <c r="D1" s="11"/>
      <c r="E1" s="11"/>
      <c r="F1" s="12"/>
      <c r="G1" s="12"/>
      <c r="H1" s="12"/>
      <c r="I1" s="12"/>
      <c r="J1" s="12"/>
      <c r="K1" s="12"/>
      <c r="L1" s="12"/>
    </row>
    <row r="2" spans="1:12" ht="16.2" thickBot="1" x14ac:dyDescent="0.35"/>
    <row r="3" spans="1:12" ht="16.2" thickBot="1" x14ac:dyDescent="0.35">
      <c r="A3" s="60" t="s">
        <v>14</v>
      </c>
      <c r="B3" s="60" t="s">
        <v>15</v>
      </c>
      <c r="C3" s="62" t="s">
        <v>16</v>
      </c>
      <c r="D3" s="63"/>
      <c r="E3" s="64" t="s">
        <v>17</v>
      </c>
      <c r="F3" s="65"/>
      <c r="G3" s="58" t="s">
        <v>20</v>
      </c>
      <c r="H3" s="59"/>
      <c r="I3" s="58" t="s">
        <v>21</v>
      </c>
      <c r="J3" s="59"/>
    </row>
    <row r="4" spans="1:12" ht="16.2" thickBot="1" x14ac:dyDescent="0.35">
      <c r="A4" s="61"/>
      <c r="B4" s="61"/>
      <c r="C4" s="13" t="s">
        <v>4</v>
      </c>
      <c r="D4" s="14" t="s">
        <v>5</v>
      </c>
      <c r="E4" s="13" t="s">
        <v>18</v>
      </c>
      <c r="F4" s="14" t="s">
        <v>19</v>
      </c>
      <c r="G4" s="40" t="s">
        <v>22</v>
      </c>
      <c r="H4" s="40" t="s">
        <v>23</v>
      </c>
      <c r="I4" s="41" t="s">
        <v>24</v>
      </c>
      <c r="J4" s="40" t="s">
        <v>25</v>
      </c>
    </row>
    <row r="5" spans="1:12" x14ac:dyDescent="0.3">
      <c r="A5" s="3">
        <v>1</v>
      </c>
      <c r="B5" s="3" t="s">
        <v>28</v>
      </c>
      <c r="C5" s="15">
        <f>'LIBRO MAYOR'!D8</f>
        <v>2375000</v>
      </c>
      <c r="D5" s="15">
        <f>'LIBRO MAYOR'!E8</f>
        <v>1375000</v>
      </c>
      <c r="E5" s="15">
        <f>'LIBRO MAYOR'!F7</f>
        <v>1000000</v>
      </c>
      <c r="F5" s="15"/>
      <c r="G5" s="15">
        <f>E5</f>
        <v>1000000</v>
      </c>
      <c r="H5" s="15"/>
      <c r="I5" s="15"/>
      <c r="J5" s="15"/>
    </row>
    <row r="6" spans="1:12" x14ac:dyDescent="0.3">
      <c r="A6" s="1">
        <v>2</v>
      </c>
      <c r="B6" s="1" t="str">
        <f>'LIBRO MAYOR'!D11</f>
        <v>BANCO GNB CTA CTE</v>
      </c>
      <c r="C6" s="16">
        <f>'LIBRO MAYOR'!D17</f>
        <v>47375000</v>
      </c>
      <c r="D6" s="16">
        <f>'LIBRO MAYOR'!E17</f>
        <v>4200000</v>
      </c>
      <c r="E6" s="16">
        <f>'LIBRO MAYOR'!F16</f>
        <v>43175000</v>
      </c>
      <c r="F6" s="16"/>
      <c r="G6" s="16">
        <f>E6</f>
        <v>43175000</v>
      </c>
      <c r="H6" s="16"/>
      <c r="I6" s="16"/>
      <c r="J6" s="15"/>
    </row>
    <row r="7" spans="1:12" x14ac:dyDescent="0.3">
      <c r="A7" s="1">
        <v>3</v>
      </c>
      <c r="B7" s="1" t="s">
        <v>31</v>
      </c>
      <c r="C7" s="16">
        <v>0</v>
      </c>
      <c r="D7" s="16">
        <f>'LIBRO MAYOR'!E24</f>
        <v>47000000</v>
      </c>
      <c r="E7" s="16"/>
      <c r="F7" s="16">
        <f>'LIBRO MAYOR'!F24</f>
        <v>47000000</v>
      </c>
      <c r="G7" s="16"/>
      <c r="H7" s="16">
        <f>F7</f>
        <v>47000000</v>
      </c>
      <c r="I7" s="16"/>
      <c r="J7" s="15"/>
    </row>
    <row r="8" spans="1:12" x14ac:dyDescent="0.3">
      <c r="A8" s="1">
        <v>4</v>
      </c>
      <c r="B8" s="1" t="s">
        <v>34</v>
      </c>
      <c r="C8" s="16">
        <f>'LIBRO MAYOR'!D32</f>
        <v>3636363.6363636362</v>
      </c>
      <c r="D8" s="16">
        <f>'LIBRO MAYOR'!E32</f>
        <v>1818182</v>
      </c>
      <c r="E8" s="16">
        <f>'LIBRO MAYOR'!F30</f>
        <v>1818181.6363636362</v>
      </c>
      <c r="F8" s="16"/>
      <c r="G8" s="16">
        <f>E8</f>
        <v>1818181.6363636362</v>
      </c>
      <c r="H8" s="16"/>
      <c r="I8" s="16"/>
      <c r="J8" s="15"/>
    </row>
    <row r="9" spans="1:12" x14ac:dyDescent="0.3">
      <c r="A9" s="1">
        <v>5</v>
      </c>
      <c r="B9" s="1" t="s">
        <v>38</v>
      </c>
      <c r="C9" s="16">
        <f>'LIBRO MAYOR'!D40</f>
        <v>745454.54545454553</v>
      </c>
      <c r="D9" s="16">
        <v>0</v>
      </c>
      <c r="E9" s="16">
        <f>'LIBRO MAYOR'!F39</f>
        <v>745454.54545454553</v>
      </c>
      <c r="F9" s="16"/>
      <c r="G9" s="16">
        <f>E9</f>
        <v>745454.54545454553</v>
      </c>
      <c r="H9" s="16"/>
      <c r="I9" s="16"/>
      <c r="J9" s="15"/>
    </row>
    <row r="10" spans="1:12" x14ac:dyDescent="0.3">
      <c r="A10" s="1">
        <v>6</v>
      </c>
      <c r="B10" s="1" t="str">
        <f>'LIBRO MAYOR'!D43</f>
        <v>DOCUMENTOS A PAGAR</v>
      </c>
      <c r="C10" s="16">
        <v>0</v>
      </c>
      <c r="D10" s="16">
        <f>'LIBRO MAYOR'!E48</f>
        <v>4000000</v>
      </c>
      <c r="E10" s="16"/>
      <c r="F10" s="16">
        <f>'LIBRO MAYOR'!F48</f>
        <v>4000000</v>
      </c>
      <c r="G10" s="16"/>
      <c r="H10" s="16">
        <f>F10</f>
        <v>4000000</v>
      </c>
      <c r="I10" s="16"/>
      <c r="J10" s="15"/>
    </row>
    <row r="11" spans="1:12" x14ac:dyDescent="0.3">
      <c r="A11" s="1">
        <v>7</v>
      </c>
      <c r="B11" s="1" t="str">
        <f>'LIBRO MAYOR'!D51</f>
        <v>HONORARIOS PROFESIONALES</v>
      </c>
      <c r="C11" s="16">
        <f>'LIBRO MAYOR'!D56</f>
        <v>3272727.2727272725</v>
      </c>
      <c r="D11" s="16">
        <v>0</v>
      </c>
      <c r="E11" s="16">
        <f>C11</f>
        <v>3272727.2727272725</v>
      </c>
      <c r="F11" s="16"/>
      <c r="G11" s="16"/>
      <c r="H11" s="16"/>
      <c r="I11" s="16">
        <f>E11</f>
        <v>3272727.2727272725</v>
      </c>
      <c r="J11" s="15"/>
    </row>
    <row r="12" spans="1:12" x14ac:dyDescent="0.3">
      <c r="A12" s="1">
        <v>8</v>
      </c>
      <c r="B12" s="1" t="str">
        <f>'LIBRO MAYOR'!D59</f>
        <v>SERVICIOS BASICOS</v>
      </c>
      <c r="C12" s="16">
        <f>'LIBRO MAYOR'!D64</f>
        <v>545454.54545454541</v>
      </c>
      <c r="D12" s="16"/>
      <c r="E12" s="16">
        <f>C12</f>
        <v>545454.54545454541</v>
      </c>
      <c r="F12" s="16"/>
      <c r="G12" s="16"/>
      <c r="H12" s="16">
        <f>E12</f>
        <v>545454.54545454541</v>
      </c>
      <c r="I12" s="16"/>
      <c r="J12" s="15"/>
    </row>
    <row r="13" spans="1:12" x14ac:dyDescent="0.3">
      <c r="A13" s="1">
        <v>9</v>
      </c>
      <c r="B13" s="1" t="str">
        <f>'LIBRO MAYOR'!D67</f>
        <v>DOCUMENTO A COBRAR</v>
      </c>
      <c r="C13" s="16">
        <f>'LIBRO MAYOR'!D72</f>
        <v>1375000</v>
      </c>
      <c r="D13" s="16">
        <v>0</v>
      </c>
      <c r="E13" s="16">
        <f>'LIBRO MAYOR'!F72</f>
        <v>1375000</v>
      </c>
      <c r="F13" s="16"/>
      <c r="G13" s="16">
        <f>E13</f>
        <v>1375000</v>
      </c>
      <c r="H13" s="16"/>
      <c r="I13" s="16"/>
      <c r="J13" s="15"/>
    </row>
    <row r="14" spans="1:12" x14ac:dyDescent="0.3">
      <c r="A14" s="1">
        <v>10</v>
      </c>
      <c r="B14" s="1" t="str">
        <f>'LIBRO MAYOR'!D75</f>
        <v>INTERES A VENCER</v>
      </c>
      <c r="C14" s="16">
        <f>'LIBRO MAYOR'!D80</f>
        <v>8021</v>
      </c>
      <c r="D14" s="16">
        <v>0</v>
      </c>
      <c r="E14" s="16">
        <f>C14</f>
        <v>8021</v>
      </c>
      <c r="F14" s="16"/>
      <c r="G14" s="16">
        <f>E14</f>
        <v>8021</v>
      </c>
      <c r="H14" s="16"/>
      <c r="I14" s="16"/>
      <c r="J14" s="15"/>
    </row>
    <row r="15" spans="1:12" x14ac:dyDescent="0.3">
      <c r="A15" s="1">
        <v>11</v>
      </c>
      <c r="B15" s="1" t="str">
        <f>'LIBRO MAYOR'!D83</f>
        <v>VENTA DE MERCADERIAS</v>
      </c>
      <c r="C15" s="16">
        <v>0</v>
      </c>
      <c r="D15" s="16">
        <f>'LIBRO MAYOR'!E85</f>
        <v>2500000</v>
      </c>
      <c r="E15" s="16"/>
      <c r="F15" s="16">
        <f>D15</f>
        <v>2500000</v>
      </c>
      <c r="G15" s="16"/>
      <c r="H15" s="16"/>
      <c r="I15" s="16"/>
      <c r="J15" s="15">
        <f>F15</f>
        <v>2500000</v>
      </c>
    </row>
    <row r="16" spans="1:12" x14ac:dyDescent="0.3">
      <c r="A16" s="1">
        <v>12</v>
      </c>
      <c r="B16" s="1" t="str">
        <f>'LIBRO MAYOR'!D91</f>
        <v>IVA DF 10%</v>
      </c>
      <c r="C16" s="16">
        <v>0</v>
      </c>
      <c r="D16" s="16">
        <f>'LIBRO MAYOR'!E93</f>
        <v>250000</v>
      </c>
      <c r="E16" s="16"/>
      <c r="F16" s="16">
        <f>D16</f>
        <v>250000</v>
      </c>
      <c r="G16" s="16"/>
      <c r="H16" s="16">
        <f>F16</f>
        <v>250000</v>
      </c>
      <c r="I16" s="16"/>
      <c r="J16" s="15"/>
    </row>
    <row r="17" spans="1:11" x14ac:dyDescent="0.3">
      <c r="A17" s="1">
        <v>13</v>
      </c>
      <c r="B17" s="1" t="str">
        <f>'LIBRO MAYOR'!D99</f>
        <v>INTERES A PAGAR</v>
      </c>
      <c r="C17" s="16">
        <v>0</v>
      </c>
      <c r="D17" s="16">
        <f>'LIBRO MAYOR'!E101</f>
        <v>8021</v>
      </c>
      <c r="E17" s="16"/>
      <c r="F17" s="16">
        <f>D17</f>
        <v>8021</v>
      </c>
      <c r="G17" s="16"/>
      <c r="H17" s="16">
        <f>F17</f>
        <v>8021</v>
      </c>
      <c r="I17" s="16"/>
      <c r="J17" s="15"/>
    </row>
    <row r="18" spans="1:11" x14ac:dyDescent="0.3">
      <c r="A18" s="1">
        <v>14</v>
      </c>
      <c r="B18" s="1" t="str">
        <f>'LIBRO MAYOR'!D107</f>
        <v>COSTO DE VENTAS</v>
      </c>
      <c r="C18" s="16">
        <f>'LIBRO MAYOR'!D112</f>
        <v>1818182</v>
      </c>
      <c r="D18" s="16">
        <v>0</v>
      </c>
      <c r="E18" s="16">
        <f>'LIBRO MAYOR'!F112</f>
        <v>1818182</v>
      </c>
      <c r="F18" s="16"/>
      <c r="G18" s="16"/>
      <c r="H18" s="16"/>
      <c r="I18" s="16">
        <f>E18</f>
        <v>1818182</v>
      </c>
      <c r="J18" s="15"/>
    </row>
    <row r="19" spans="1:11" x14ac:dyDescent="0.3">
      <c r="A19" s="1">
        <v>15</v>
      </c>
      <c r="B19" s="1"/>
      <c r="C19" s="16"/>
      <c r="D19" s="16"/>
      <c r="E19" s="16"/>
      <c r="F19" s="16"/>
      <c r="G19" s="16"/>
      <c r="H19" s="16"/>
      <c r="I19" s="16"/>
      <c r="J19" s="15"/>
    </row>
    <row r="20" spans="1:11" x14ac:dyDescent="0.3">
      <c r="A20" s="1">
        <v>16</v>
      </c>
      <c r="B20" s="1"/>
      <c r="C20" s="16"/>
      <c r="D20" s="16"/>
      <c r="E20" s="16"/>
      <c r="F20" s="16"/>
      <c r="G20" s="16"/>
      <c r="H20" s="16"/>
      <c r="I20" s="16"/>
      <c r="J20" s="15"/>
    </row>
    <row r="21" spans="1:11" x14ac:dyDescent="0.3">
      <c r="A21" s="1">
        <v>17</v>
      </c>
      <c r="B21" s="1"/>
      <c r="C21" s="16"/>
      <c r="D21" s="16"/>
      <c r="E21" s="16"/>
      <c r="F21" s="16"/>
      <c r="G21" s="16"/>
      <c r="H21" s="16"/>
      <c r="I21" s="16"/>
      <c r="J21" s="15"/>
    </row>
    <row r="22" spans="1:11" x14ac:dyDescent="0.3">
      <c r="A22" s="1"/>
      <c r="B22" s="17"/>
      <c r="C22" s="45">
        <f>SUM(C5:C21)</f>
        <v>61151203</v>
      </c>
      <c r="D22" s="45">
        <f>SUM(D5:D21)</f>
        <v>61151203</v>
      </c>
      <c r="E22" s="44">
        <f>SUM(E5:E18)</f>
        <v>53758021</v>
      </c>
      <c r="F22" s="44">
        <f>SUM(F7:F19)</f>
        <v>53758021</v>
      </c>
      <c r="G22" s="84">
        <f>SUM(G5:G21)</f>
        <v>48121657.18181818</v>
      </c>
      <c r="H22" s="84">
        <f>SUM(H5:H20)</f>
        <v>51803475.545454547</v>
      </c>
      <c r="I22" s="43">
        <f>SUM(I10:I21)</f>
        <v>5090909.2727272725</v>
      </c>
      <c r="J22" s="43">
        <f>SUM(J14:J15)</f>
        <v>2500000</v>
      </c>
    </row>
    <row r="23" spans="1:11" x14ac:dyDescent="0.3">
      <c r="A23" s="1"/>
      <c r="B23" s="1"/>
      <c r="C23" s="1"/>
      <c r="D23" s="1"/>
      <c r="E23" s="1"/>
      <c r="F23" s="1"/>
      <c r="G23" s="42">
        <f>H22-G22</f>
        <v>3681818.363636367</v>
      </c>
      <c r="H23" s="42"/>
      <c r="I23" s="42"/>
      <c r="J23" s="42">
        <f>I22-J22</f>
        <v>2590909.2727272725</v>
      </c>
      <c r="K23" t="s">
        <v>70</v>
      </c>
    </row>
    <row r="24" spans="1:11" x14ac:dyDescent="0.3">
      <c r="A24" s="1"/>
      <c r="B24" s="17"/>
      <c r="C24" s="42">
        <f>SUM(C22:C23)</f>
        <v>61151203</v>
      </c>
      <c r="D24" s="42">
        <f>SUM(D22:D23)</f>
        <v>61151203</v>
      </c>
      <c r="E24" s="42">
        <f>SUM(E22:E23)</f>
        <v>53758021</v>
      </c>
      <c r="F24" s="42">
        <f>SUM(F22:F23)</f>
        <v>53758021</v>
      </c>
      <c r="G24" s="42">
        <f>SUM(G22:G23)</f>
        <v>51803475.545454547</v>
      </c>
      <c r="H24" s="42">
        <f>SUM(H22:H23)</f>
        <v>51803475.545454547</v>
      </c>
      <c r="I24" s="42">
        <f>SUM(I22:I23)</f>
        <v>5090909.2727272725</v>
      </c>
      <c r="J24" s="42">
        <f>SUM(J22:J23)</f>
        <v>5090909.2727272725</v>
      </c>
    </row>
    <row r="26" spans="1:11" x14ac:dyDescent="0.3">
      <c r="D26" s="46"/>
    </row>
    <row r="27" spans="1:11" x14ac:dyDescent="0.3">
      <c r="C27" t="s">
        <v>40</v>
      </c>
      <c r="D27" s="46">
        <f>H22-D28</f>
        <v>4803475.5454545468</v>
      </c>
    </row>
    <row r="28" spans="1:11" x14ac:dyDescent="0.3">
      <c r="C28" t="s">
        <v>69</v>
      </c>
      <c r="D28" s="46">
        <f>D7</f>
        <v>47000000</v>
      </c>
    </row>
  </sheetData>
  <mergeCells count="6">
    <mergeCell ref="G3:H3"/>
    <mergeCell ref="I3:J3"/>
    <mergeCell ref="A3:A4"/>
    <mergeCell ref="B3:B4"/>
    <mergeCell ref="C3:D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LIBRO DIARIO</vt:lpstr>
      <vt:lpstr>LIBRO MAYOR</vt:lpstr>
      <vt:lpstr>BG _ER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FPUNA</dc:creator>
  <cp:lastModifiedBy>Gustavo Lesme</cp:lastModifiedBy>
  <dcterms:created xsi:type="dcterms:W3CDTF">2025-04-15T12:33:19Z</dcterms:created>
  <dcterms:modified xsi:type="dcterms:W3CDTF">2026-06-03T04:18:07Z</dcterms:modified>
</cp:coreProperties>
</file>