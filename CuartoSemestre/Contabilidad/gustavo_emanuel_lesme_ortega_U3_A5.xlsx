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8_{E5192755-E1B6-4DDE-A05E-9DA68A203CC2}" xr6:coauthVersionLast="47" xr6:coauthVersionMax="47" xr10:uidLastSave="{00000000-0000-0000-0000-000000000000}"/>
  <bookViews>
    <workbookView xWindow="-108" yWindow="-108" windowWidth="23256" windowHeight="12576" xr2:uid="{BA3CBD0A-8EC8-44E2-8FE5-2C832BA3C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F38" i="1"/>
  <c r="F37" i="1"/>
  <c r="F36" i="1"/>
  <c r="F35" i="1"/>
  <c r="H34" i="1"/>
  <c r="F34" i="1"/>
  <c r="F33" i="1"/>
  <c r="F40" i="1" s="1"/>
  <c r="H39" i="1" s="1"/>
  <c r="F42" i="1" s="1"/>
  <c r="F24" i="1"/>
  <c r="F23" i="1"/>
  <c r="H22" i="1"/>
  <c r="H23" i="1" s="1"/>
  <c r="F22" i="1"/>
  <c r="F21" i="1"/>
  <c r="F25" i="1" s="1"/>
  <c r="F11" i="1"/>
  <c r="H10" i="1"/>
  <c r="F10" i="1"/>
  <c r="F12" i="1" s="1"/>
  <c r="H11" i="1" s="1"/>
  <c r="F14" i="1" s="1"/>
  <c r="H9" i="1"/>
  <c r="F9" i="1"/>
  <c r="F8" i="1"/>
  <c r="H12" i="1" l="1"/>
  <c r="H24" i="1"/>
  <c r="F27" i="1" s="1"/>
  <c r="H40" i="1"/>
  <c r="H25" i="1" l="1"/>
</calcChain>
</file>

<file path=xl/sharedStrings.xml><?xml version="1.0" encoding="utf-8"?>
<sst xmlns="http://schemas.openxmlformats.org/spreadsheetml/2006/main" count="79" uniqueCount="38">
  <si>
    <t>CÁTEDRA: CONTABILIDAD</t>
  </si>
  <si>
    <t>HALLA EL PATRIMONIO NETO, EL PORCENTAJE DE FINANCIAMIENTO Y VERIFICA LA ECUACIÓN PATRIMONIAL DE LAS SIGUIENTES EMPRESAS</t>
  </si>
  <si>
    <t>1. E-FARMA inicia sus operaciones comerciales con los siguientes bienes:</t>
  </si>
  <si>
    <t>Gs.</t>
  </si>
  <si>
    <t>Debe</t>
  </si>
  <si>
    <t>Haber</t>
  </si>
  <si>
    <t>Dinero en Cuenta Corriente en el Banco Patagonia SA</t>
  </si>
  <si>
    <t>Banco XX CTA.CTE</t>
  </si>
  <si>
    <t>Documentos a Pagar</t>
  </si>
  <si>
    <t>Artículos para la venta</t>
  </si>
  <si>
    <t>5%IVA Inc.</t>
  </si>
  <si>
    <t>Mercaderias</t>
  </si>
  <si>
    <t>Prestamos Bancarios</t>
  </si>
  <si>
    <t>Mobiliarios para uso de la empresa</t>
  </si>
  <si>
    <t>10%IVA Inc.</t>
  </si>
  <si>
    <t>IVA CF 5%</t>
  </si>
  <si>
    <t>Interes a Pagar</t>
  </si>
  <si>
    <t>Pagaré a nombre de HEALTH SA a 30 días</t>
  </si>
  <si>
    <t>Muebles y Utiles</t>
  </si>
  <si>
    <t>TOTAL PASIVO</t>
  </si>
  <si>
    <t>Préstamo Bancario a 180 días, 17% anual</t>
  </si>
  <si>
    <t>IVA CF 10%</t>
  </si>
  <si>
    <t>CAPITAL</t>
  </si>
  <si>
    <t>TOTAL ACTIVO</t>
  </si>
  <si>
    <t>PASIVO + P.NETO</t>
  </si>
  <si>
    <t>PATRIMONIO NETO</t>
  </si>
  <si>
    <t>2. BRANDETING inicia sus operaciones comerciales con los siguientes bienes:</t>
  </si>
  <si>
    <t>Dinero en Cuenta Corriente en el Banco Bradesco SA</t>
  </si>
  <si>
    <t>Pagaré a nombre de Brandeting a 60 días</t>
  </si>
  <si>
    <t>Préstamo Bancario a 270 días, 16% anual</t>
  </si>
  <si>
    <t>Dinero invertido en CDA por 5 años</t>
  </si>
  <si>
    <t>3. lLKI inicia sus operaciones comerciales con los siguientes bienes:</t>
  </si>
  <si>
    <t>Dinero en Cuenta Corriente en el BancoUnión SA</t>
  </si>
  <si>
    <t>Proveedores</t>
  </si>
  <si>
    <t>Computadora para uso de la entidad</t>
  </si>
  <si>
    <t>Deuda con proveedor sin pagaré</t>
  </si>
  <si>
    <t>Préstamo Bancario a 270 días, 15% anual</t>
  </si>
  <si>
    <t>Equipo de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</si>
</sst>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₲&quot;\ * #,##0_ ;_ &quot;₲&quot;\ * \-#,##0_ ;_ &quot;₲&quot;\ * &quot;-&quot;_ ;_ @_ "/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0" xfId="0" applyFont="1" applyFill="1" applyAlignment="1">
      <alignment horizontal="center"/>
    </xf>
    <xf numFmtId="42" fontId="0" fillId="0" borderId="0" xfId="1" applyFont="1"/>
    <xf numFmtId="0" fontId="4" fillId="2" borderId="0" xfId="0" applyFont="1" applyFill="1"/>
    <xf numFmtId="41" fontId="4" fillId="2" borderId="0" xfId="2" applyFont="1" applyFill="1"/>
    <xf numFmtId="0" fontId="5" fillId="3" borderId="0" xfId="0" applyFont="1" applyFill="1" applyAlignment="1">
      <alignment horizontal="center"/>
    </xf>
    <xf numFmtId="0" fontId="4" fillId="0" borderId="0" xfId="0" applyFont="1"/>
    <xf numFmtId="41" fontId="4" fillId="0" borderId="0" xfId="2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2" fontId="0" fillId="0" borderId="3" xfId="1" applyFont="1" applyBorder="1"/>
    <xf numFmtId="42" fontId="0" fillId="0" borderId="4" xfId="1" applyFont="1" applyBorder="1"/>
    <xf numFmtId="0" fontId="2" fillId="0" borderId="0" xfId="0" applyFont="1"/>
    <xf numFmtId="42" fontId="2" fillId="0" borderId="0" xfId="1" applyFont="1"/>
    <xf numFmtId="42" fontId="2" fillId="0" borderId="4" xfId="1" applyFont="1" applyBorder="1"/>
    <xf numFmtId="42" fontId="0" fillId="0" borderId="0" xfId="1" applyFont="1" applyBorder="1"/>
  </cellXfs>
  <cellStyles count="3">
    <cellStyle name="Comma [0] 3" xfId="2" xr:uid="{813414FF-1CB5-4869-87D3-43964E2FF65A}"/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89AE-C813-4F9B-9D86-382510C0F41A}">
  <dimension ref="A1:R42"/>
  <sheetViews>
    <sheetView tabSelected="1" topLeftCell="A14" workbookViewId="0">
      <selection activeCell="L35" sqref="L35"/>
    </sheetView>
  </sheetViews>
  <sheetFormatPr defaultRowHeight="14.4" x14ac:dyDescent="0.3"/>
  <cols>
    <col min="1" max="1" width="72.6640625" bestFit="1" customWidth="1"/>
    <col min="2" max="2" width="12.109375" bestFit="1" customWidth="1"/>
    <col min="3" max="3" width="11.5546875" bestFit="1" customWidth="1"/>
    <col min="5" max="5" width="19.21875" bestFit="1" customWidth="1"/>
    <col min="6" max="6" width="13.77734375" bestFit="1" customWidth="1"/>
    <col min="7" max="7" width="18.21875" bestFit="1" customWidth="1"/>
    <col min="8" max="8" width="13.77734375" bestFit="1" customWidth="1"/>
  </cols>
  <sheetData>
    <row r="1" spans="1:18" ht="17.399999999999999" x14ac:dyDescent="0.3">
      <c r="A1" s="1" t="s">
        <v>0</v>
      </c>
      <c r="B1" s="1"/>
      <c r="C1" s="1"/>
      <c r="D1" s="1"/>
      <c r="E1" s="1"/>
      <c r="F1" s="2"/>
      <c r="H1" s="2"/>
    </row>
    <row r="2" spans="1:18" x14ac:dyDescent="0.3">
      <c r="A2" s="3"/>
      <c r="B2" s="4"/>
      <c r="C2" s="3"/>
      <c r="D2" s="3"/>
      <c r="E2" s="3"/>
      <c r="F2" s="2"/>
      <c r="H2" s="2"/>
    </row>
    <row r="3" spans="1:18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F4" s="2"/>
      <c r="H4" s="2"/>
    </row>
    <row r="5" spans="1:18" x14ac:dyDescent="0.3">
      <c r="A5" s="6" t="s">
        <v>2</v>
      </c>
      <c r="F5" s="2"/>
      <c r="H5" s="2"/>
    </row>
    <row r="6" spans="1:18" x14ac:dyDescent="0.3">
      <c r="B6" s="7" t="s">
        <v>3</v>
      </c>
      <c r="E6" s="8" t="s">
        <v>4</v>
      </c>
      <c r="F6" s="9"/>
      <c r="G6" s="8" t="s">
        <v>5</v>
      </c>
      <c r="H6" s="9"/>
    </row>
    <row r="7" spans="1:18" x14ac:dyDescent="0.3">
      <c r="A7" s="6" t="s">
        <v>6</v>
      </c>
      <c r="B7" s="7">
        <v>50000000</v>
      </c>
      <c r="E7" t="s">
        <v>7</v>
      </c>
      <c r="F7" s="10">
        <v>50000000</v>
      </c>
      <c r="G7" t="s">
        <v>8</v>
      </c>
      <c r="H7" s="2">
        <v>3000000</v>
      </c>
    </row>
    <row r="8" spans="1:18" x14ac:dyDescent="0.3">
      <c r="A8" s="6" t="s">
        <v>9</v>
      </c>
      <c r="B8" s="7">
        <v>20000000</v>
      </c>
      <c r="C8" s="6" t="s">
        <v>10</v>
      </c>
      <c r="E8" t="s">
        <v>11</v>
      </c>
      <c r="F8" s="11">
        <f>B8/(1+5/100)</f>
        <v>19047619.047619049</v>
      </c>
      <c r="G8" t="s">
        <v>12</v>
      </c>
      <c r="H8" s="2">
        <v>16000000</v>
      </c>
    </row>
    <row r="9" spans="1:18" x14ac:dyDescent="0.3">
      <c r="A9" s="6" t="s">
        <v>13</v>
      </c>
      <c r="B9" s="7">
        <v>5200000</v>
      </c>
      <c r="C9" s="6" t="s">
        <v>14</v>
      </c>
      <c r="E9" t="s">
        <v>15</v>
      </c>
      <c r="F9" s="11">
        <f>(B8*5/100)/(1+5/100)</f>
        <v>952380.95238095231</v>
      </c>
      <c r="G9" t="s">
        <v>16</v>
      </c>
      <c r="H9" s="2">
        <f>(H8*180*17)/(365*100)</f>
        <v>1341369.8630136987</v>
      </c>
    </row>
    <row r="10" spans="1:18" x14ac:dyDescent="0.3">
      <c r="A10" s="6" t="s">
        <v>17</v>
      </c>
      <c r="B10" s="7">
        <v>3000000</v>
      </c>
      <c r="E10" t="s">
        <v>18</v>
      </c>
      <c r="F10" s="11">
        <f>B9/(1+10/100)</f>
        <v>4727272.7272727266</v>
      </c>
      <c r="G10" s="12" t="s">
        <v>19</v>
      </c>
      <c r="H10" s="13">
        <f>SUM(H7:H9)</f>
        <v>20341369.8630137</v>
      </c>
    </row>
    <row r="11" spans="1:18" x14ac:dyDescent="0.3">
      <c r="A11" s="6" t="s">
        <v>20</v>
      </c>
      <c r="B11" s="7">
        <v>16000000</v>
      </c>
      <c r="E11" t="s">
        <v>21</v>
      </c>
      <c r="F11" s="11">
        <f>(B9*10/100)/(1+10/100)</f>
        <v>472727.27272727271</v>
      </c>
      <c r="G11" s="12" t="s">
        <v>22</v>
      </c>
      <c r="H11" s="13">
        <f>F12-H10</f>
        <v>54858630.136986285</v>
      </c>
    </row>
    <row r="12" spans="1:18" x14ac:dyDescent="0.3">
      <c r="D12" s="12"/>
      <c r="E12" s="12" t="s">
        <v>23</v>
      </c>
      <c r="F12" s="14">
        <f>SUM(F7:F11)</f>
        <v>75199999.999999985</v>
      </c>
      <c r="G12" s="12" t="s">
        <v>24</v>
      </c>
      <c r="H12" s="13">
        <f>SUM(H10:H11)</f>
        <v>75199999.999999985</v>
      </c>
    </row>
    <row r="13" spans="1:18" x14ac:dyDescent="0.3">
      <c r="F13" s="11"/>
      <c r="H13" s="2"/>
    </row>
    <row r="14" spans="1:18" x14ac:dyDescent="0.3">
      <c r="E14" s="12" t="s">
        <v>25</v>
      </c>
      <c r="F14" s="2">
        <f>H11</f>
        <v>54858630.136986285</v>
      </c>
      <c r="H14" s="2"/>
    </row>
    <row r="15" spans="1:18" x14ac:dyDescent="0.3">
      <c r="F15" s="2"/>
      <c r="H15" s="2"/>
    </row>
    <row r="16" spans="1:18" x14ac:dyDescent="0.3">
      <c r="F16" s="2"/>
      <c r="H16" s="2"/>
    </row>
    <row r="17" spans="1:8" x14ac:dyDescent="0.3">
      <c r="F17" s="2"/>
      <c r="H17" s="2"/>
    </row>
    <row r="18" spans="1:8" x14ac:dyDescent="0.3">
      <c r="A18" s="6" t="s">
        <v>26</v>
      </c>
      <c r="F18" s="2"/>
      <c r="H18" s="2"/>
    </row>
    <row r="19" spans="1:8" x14ac:dyDescent="0.3">
      <c r="B19" s="7" t="s">
        <v>3</v>
      </c>
      <c r="E19" s="8" t="s">
        <v>4</v>
      </c>
      <c r="F19" s="9"/>
      <c r="G19" s="8" t="s">
        <v>5</v>
      </c>
      <c r="H19" s="9"/>
    </row>
    <row r="20" spans="1:8" x14ac:dyDescent="0.3">
      <c r="A20" s="6" t="s">
        <v>27</v>
      </c>
      <c r="B20" s="7">
        <v>60000000</v>
      </c>
      <c r="E20" t="s">
        <v>7</v>
      </c>
      <c r="F20" s="10">
        <v>60000000</v>
      </c>
      <c r="G20" t="s">
        <v>8</v>
      </c>
      <c r="H20" s="2">
        <v>3000000</v>
      </c>
    </row>
    <row r="21" spans="1:8" x14ac:dyDescent="0.3">
      <c r="A21" s="6" t="s">
        <v>9</v>
      </c>
      <c r="B21" s="7">
        <v>25000000</v>
      </c>
      <c r="C21" s="6" t="s">
        <v>14</v>
      </c>
      <c r="E21" t="s">
        <v>11</v>
      </c>
      <c r="F21" s="11">
        <f>25000000/(1+10/100)</f>
        <v>22727272.727272727</v>
      </c>
      <c r="G21" t="s">
        <v>12</v>
      </c>
      <c r="H21" s="2">
        <v>16000000</v>
      </c>
    </row>
    <row r="22" spans="1:8" x14ac:dyDescent="0.3">
      <c r="A22" s="6" t="s">
        <v>13</v>
      </c>
      <c r="B22" s="7">
        <v>3200000</v>
      </c>
      <c r="C22" s="6" t="s">
        <v>14</v>
      </c>
      <c r="E22" t="s">
        <v>15</v>
      </c>
      <c r="F22" s="11">
        <f>(25000000*10/100)/(1+10/100)</f>
        <v>2272727.2727272725</v>
      </c>
      <c r="G22" t="s">
        <v>16</v>
      </c>
      <c r="H22" s="2">
        <f>(H21*270*16)/(365*100)</f>
        <v>1893698.6301369863</v>
      </c>
    </row>
    <row r="23" spans="1:8" x14ac:dyDescent="0.3">
      <c r="A23" s="6" t="s">
        <v>28</v>
      </c>
      <c r="B23" s="7">
        <v>3000000</v>
      </c>
      <c r="E23" t="s">
        <v>18</v>
      </c>
      <c r="F23" s="11">
        <f>B22/(1+10/100)</f>
        <v>2909090.9090909087</v>
      </c>
      <c r="G23" s="12" t="s">
        <v>19</v>
      </c>
      <c r="H23" s="13">
        <f>SUM(H20:H22)</f>
        <v>20893698.630136985</v>
      </c>
    </row>
    <row r="24" spans="1:8" x14ac:dyDescent="0.3">
      <c r="A24" s="6" t="s">
        <v>29</v>
      </c>
      <c r="B24" s="7">
        <v>15000000</v>
      </c>
      <c r="E24" t="s">
        <v>21</v>
      </c>
      <c r="F24" s="11">
        <f>(B22*10/100)/(1+10/100)</f>
        <v>290909.09090909088</v>
      </c>
      <c r="G24" s="12" t="s">
        <v>22</v>
      </c>
      <c r="H24" s="13">
        <f>F25-H23</f>
        <v>67306301.369863003</v>
      </c>
    </row>
    <row r="25" spans="1:8" x14ac:dyDescent="0.3">
      <c r="A25" s="6" t="s">
        <v>30</v>
      </c>
      <c r="B25" s="7">
        <v>30000000</v>
      </c>
      <c r="E25" s="12" t="s">
        <v>23</v>
      </c>
      <c r="F25" s="14">
        <f>SUM(F20:F24)</f>
        <v>88199999.999999985</v>
      </c>
      <c r="G25" s="12" t="s">
        <v>24</v>
      </c>
      <c r="H25" s="13">
        <f>SUM(H23:H24)</f>
        <v>88199999.999999985</v>
      </c>
    </row>
    <row r="26" spans="1:8" x14ac:dyDescent="0.3">
      <c r="F26" s="11"/>
      <c r="H26" s="2"/>
    </row>
    <row r="27" spans="1:8" x14ac:dyDescent="0.3">
      <c r="E27" s="12" t="s">
        <v>25</v>
      </c>
      <c r="F27" s="2">
        <f>H24</f>
        <v>67306301.369863003</v>
      </c>
      <c r="H27" s="2"/>
    </row>
    <row r="28" spans="1:8" x14ac:dyDescent="0.3">
      <c r="F28" s="15"/>
      <c r="H28" s="2"/>
    </row>
    <row r="29" spans="1:8" x14ac:dyDescent="0.3">
      <c r="F29" s="2"/>
      <c r="H29" s="2"/>
    </row>
    <row r="30" spans="1:8" x14ac:dyDescent="0.3">
      <c r="A30" s="6" t="s">
        <v>31</v>
      </c>
      <c r="F30" s="2"/>
      <c r="H30" s="2"/>
    </row>
    <row r="31" spans="1:8" x14ac:dyDescent="0.3">
      <c r="B31" s="7" t="s">
        <v>3</v>
      </c>
      <c r="E31" s="8" t="s">
        <v>4</v>
      </c>
      <c r="F31" s="9"/>
      <c r="G31" s="8" t="s">
        <v>5</v>
      </c>
      <c r="H31" s="9"/>
    </row>
    <row r="32" spans="1:8" x14ac:dyDescent="0.3">
      <c r="A32" s="6" t="s">
        <v>32</v>
      </c>
      <c r="B32" s="7">
        <v>70000000</v>
      </c>
      <c r="E32" t="s">
        <v>7</v>
      </c>
      <c r="F32" s="10">
        <v>70000000</v>
      </c>
      <c r="G32" t="s">
        <v>33</v>
      </c>
      <c r="H32" s="2">
        <v>3000000</v>
      </c>
    </row>
    <row r="33" spans="1:8" x14ac:dyDescent="0.3">
      <c r="A33" s="6" t="s">
        <v>9</v>
      </c>
      <c r="B33" s="7">
        <v>25000000</v>
      </c>
      <c r="C33" s="6" t="s">
        <v>14</v>
      </c>
      <c r="E33" t="s">
        <v>11</v>
      </c>
      <c r="F33" s="11">
        <f>25000000/(1+10/100)</f>
        <v>22727272.727272727</v>
      </c>
      <c r="G33" t="s">
        <v>12</v>
      </c>
      <c r="H33" s="2">
        <v>15000000</v>
      </c>
    </row>
    <row r="34" spans="1:8" x14ac:dyDescent="0.3">
      <c r="A34" s="6" t="s">
        <v>9</v>
      </c>
      <c r="B34" s="7">
        <v>25000000</v>
      </c>
      <c r="C34" s="6" t="s">
        <v>10</v>
      </c>
      <c r="E34" t="s">
        <v>15</v>
      </c>
      <c r="F34" s="11">
        <f>(25000000*10/100)/(1+10/100)</f>
        <v>2272727.2727272725</v>
      </c>
      <c r="G34" t="s">
        <v>16</v>
      </c>
      <c r="H34" s="2">
        <f>(H33*270*15)/(365*100)</f>
        <v>1664383.5616438356</v>
      </c>
    </row>
    <row r="35" spans="1:8" x14ac:dyDescent="0.3">
      <c r="A35" s="6" t="s">
        <v>34</v>
      </c>
      <c r="B35" s="7">
        <v>5600000</v>
      </c>
      <c r="C35" s="6" t="s">
        <v>14</v>
      </c>
      <c r="E35" t="s">
        <v>11</v>
      </c>
      <c r="F35" s="11">
        <f>B34/(1+5/100)</f>
        <v>23809523.80952381</v>
      </c>
      <c r="H35" s="2"/>
    </row>
    <row r="36" spans="1:8" x14ac:dyDescent="0.3">
      <c r="A36" s="6" t="s">
        <v>35</v>
      </c>
      <c r="B36" s="7">
        <v>3000000</v>
      </c>
      <c r="E36" t="s">
        <v>15</v>
      </c>
      <c r="F36" s="11">
        <f>(B34*5/100)/(1+5/100)</f>
        <v>1190476.1904761905</v>
      </c>
      <c r="H36" s="2"/>
    </row>
    <row r="37" spans="1:8" x14ac:dyDescent="0.3">
      <c r="A37" s="6" t="s">
        <v>36</v>
      </c>
      <c r="B37" s="7">
        <v>15000000</v>
      </c>
      <c r="E37" t="s">
        <v>37</v>
      </c>
      <c r="F37" s="11">
        <f>5600000/(1+10/100)</f>
        <v>5090909.0909090908</v>
      </c>
      <c r="G37" s="12"/>
      <c r="H37" s="13"/>
    </row>
    <row r="38" spans="1:8" x14ac:dyDescent="0.3">
      <c r="A38" s="6"/>
      <c r="B38" s="7"/>
      <c r="E38" t="s">
        <v>21</v>
      </c>
      <c r="F38" s="11">
        <f>(5600000*10/100)/(1+10/100)</f>
        <v>509090.90909090906</v>
      </c>
      <c r="G38" s="12" t="s">
        <v>19</v>
      </c>
      <c r="H38" s="13">
        <f>SUM(H32:H34)</f>
        <v>19664383.561643835</v>
      </c>
    </row>
    <row r="39" spans="1:8" x14ac:dyDescent="0.3">
      <c r="A39" s="6"/>
      <c r="B39" s="7"/>
      <c r="F39" s="11"/>
      <c r="G39" s="12" t="s">
        <v>22</v>
      </c>
      <c r="H39" s="13">
        <f>F40-H38</f>
        <v>100335616.43835615</v>
      </c>
    </row>
    <row r="40" spans="1:8" x14ac:dyDescent="0.3">
      <c r="A40" s="6"/>
      <c r="B40" s="7"/>
      <c r="E40" s="12" t="s">
        <v>23</v>
      </c>
      <c r="F40" s="14">
        <f>SUM(F32:F36)</f>
        <v>119999999.99999999</v>
      </c>
      <c r="G40" s="12" t="s">
        <v>24</v>
      </c>
      <c r="H40" s="13">
        <f>SUM(H38:H39)</f>
        <v>119999999.99999999</v>
      </c>
    </row>
    <row r="41" spans="1:8" x14ac:dyDescent="0.3">
      <c r="F41" s="2"/>
      <c r="H41" s="2"/>
    </row>
    <row r="42" spans="1:8" x14ac:dyDescent="0.3">
      <c r="E42" s="12" t="s">
        <v>25</v>
      </c>
      <c r="F42" s="2">
        <f>H39</f>
        <v>100335616.43835615</v>
      </c>
      <c r="H42" s="2"/>
    </row>
  </sheetData>
  <mergeCells count="8">
    <mergeCell ref="E31:F31"/>
    <mergeCell ref="G31:H31"/>
    <mergeCell ref="A1:E1"/>
    <mergeCell ref="A3:R3"/>
    <mergeCell ref="E6:F6"/>
    <mergeCell ref="G6:H6"/>
    <mergeCell ref="E19:F19"/>
    <mergeCell ref="G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2026-04-21T16:50:43Z</dcterms:created>
  <dcterms:modified xsi:type="dcterms:W3CDTF">2026-04-21T16:52:23Z</dcterms:modified>
</cp:coreProperties>
</file>