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puna\Downloads\"/>
    </mc:Choice>
  </mc:AlternateContent>
  <xr:revisionPtr revIDLastSave="0" documentId="13_ncr:1_{4F60561D-3404-4D7E-9408-9B569941193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IBRO DIARIO" sheetId="1" r:id="rId1"/>
    <sheet name="LIBRO MAYOR" sheetId="2" r:id="rId2"/>
    <sheet name="BG _ER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7" i="3" l="1"/>
  <c r="D24" i="3"/>
  <c r="C24" i="3"/>
  <c r="C22" i="3"/>
  <c r="D22" i="3"/>
  <c r="E19" i="3"/>
  <c r="I19" i="3" s="1"/>
  <c r="H17" i="3"/>
  <c r="E18" i="3"/>
  <c r="I18" i="3" s="1"/>
  <c r="I22" i="3" s="1"/>
  <c r="F16" i="3"/>
  <c r="J16" i="3" s="1"/>
  <c r="J22" i="3" s="1"/>
  <c r="H15" i="3"/>
  <c r="F15" i="3"/>
  <c r="F22" i="3" s="1"/>
  <c r="F24" i="3" s="1"/>
  <c r="G14" i="3"/>
  <c r="E14" i="3"/>
  <c r="F13" i="3"/>
  <c r="H13" i="3" s="1"/>
  <c r="H22" i="3" s="1"/>
  <c r="E12" i="3"/>
  <c r="G12" i="3" s="1"/>
  <c r="E11" i="3"/>
  <c r="G11" i="3" s="1"/>
  <c r="G9" i="3"/>
  <c r="E9" i="3"/>
  <c r="E22" i="3" s="1"/>
  <c r="E24" i="3" s="1"/>
  <c r="G7" i="3"/>
  <c r="G5" i="3"/>
  <c r="F69" i="2"/>
  <c r="D69" i="2"/>
  <c r="F41" i="2"/>
  <c r="D41" i="2"/>
  <c r="F40" i="2"/>
  <c r="F39" i="2"/>
  <c r="F38" i="2"/>
  <c r="A13" i="2"/>
  <c r="D88" i="1"/>
  <c r="B88" i="1"/>
  <c r="D86" i="1"/>
  <c r="B87" i="1"/>
  <c r="B86" i="1"/>
  <c r="B83" i="1"/>
  <c r="B82" i="1"/>
  <c r="B81" i="1"/>
  <c r="B80" i="1"/>
  <c r="J47" i="1"/>
  <c r="I46" i="1"/>
  <c r="J42" i="1"/>
  <c r="J41" i="1"/>
  <c r="B70" i="1"/>
  <c r="B69" i="1"/>
  <c r="B68" i="1"/>
  <c r="B66" i="1"/>
  <c r="B65" i="1"/>
  <c r="B64" i="1"/>
  <c r="B62" i="1"/>
  <c r="D62" i="1"/>
  <c r="D56" i="1"/>
  <c r="D55" i="1"/>
  <c r="B51" i="1"/>
  <c r="B50" i="1"/>
  <c r="B49" i="1"/>
  <c r="B48" i="1"/>
  <c r="B47" i="1"/>
  <c r="B46" i="1"/>
  <c r="B45" i="1"/>
  <c r="I33" i="1"/>
  <c r="I32" i="1"/>
  <c r="D31" i="1"/>
  <c r="J34" i="1" s="1"/>
  <c r="J35" i="1" s="1"/>
  <c r="B32" i="1"/>
  <c r="B31" i="1"/>
  <c r="B33" i="1" s="1"/>
  <c r="I27" i="1"/>
  <c r="I26" i="1"/>
  <c r="D28" i="1"/>
  <c r="B27" i="1"/>
  <c r="B26" i="1"/>
  <c r="B28" i="1" s="1"/>
  <c r="D23" i="1"/>
  <c r="B22" i="1"/>
  <c r="I21" i="1" s="1"/>
  <c r="B21" i="1"/>
  <c r="B23" i="1" s="1"/>
  <c r="D18" i="1"/>
  <c r="B17" i="1"/>
  <c r="B16" i="1"/>
  <c r="B18" i="1" s="1"/>
  <c r="J8" i="1"/>
  <c r="I8" i="1"/>
  <c r="J23" i="3" l="1"/>
  <c r="J24" i="3" s="1"/>
  <c r="G22" i="3"/>
  <c r="H24" i="3"/>
  <c r="G23" i="3"/>
  <c r="G24" i="3" s="1"/>
  <c r="D26" i="3"/>
  <c r="I24" i="3"/>
  <c r="I20" i="1"/>
  <c r="D32" i="1"/>
  <c r="D33" i="1" s="1"/>
</calcChain>
</file>

<file path=xl/sharedStrings.xml><?xml version="1.0" encoding="utf-8"?>
<sst xmlns="http://schemas.openxmlformats.org/spreadsheetml/2006/main" count="319" uniqueCount="118">
  <si>
    <t>LIBRO DIARIO</t>
  </si>
  <si>
    <t>NRO</t>
  </si>
  <si>
    <t>FECHA</t>
  </si>
  <si>
    <t>CUENTAS CONTABLES</t>
  </si>
  <si>
    <t>DEBE</t>
  </si>
  <si>
    <t>HABER</t>
  </si>
  <si>
    <t>Cálculo Auxiliar en Esquema T</t>
  </si>
  <si>
    <t>FORMATO DEL LIBRO DIARIO</t>
  </si>
  <si>
    <t>FORMATO DEL LIBRO MAYOR</t>
  </si>
  <si>
    <t>SALDO</t>
  </si>
  <si>
    <t>DESCRIPCIÓN</t>
  </si>
  <si>
    <t xml:space="preserve">FOLIO: </t>
  </si>
  <si>
    <t>CUENTA:</t>
  </si>
  <si>
    <t>BALANCE DE COMPROBACIÓN DE SUMAS Y SALDOS - BALANCE GENERAL &amp; ESTADO DE RESULTADOS</t>
  </si>
  <si>
    <t>Nro.</t>
  </si>
  <si>
    <t>CUENTA CONTABLE</t>
  </si>
  <si>
    <t>SUMAS</t>
  </si>
  <si>
    <t>SALDOS</t>
  </si>
  <si>
    <t>DEUDOR</t>
  </si>
  <si>
    <t>ACREEDOR</t>
  </si>
  <si>
    <t>BALANCE GENERAL</t>
  </si>
  <si>
    <t>ESTADO DE RESULTADOS</t>
  </si>
  <si>
    <t>ACTIVO</t>
  </si>
  <si>
    <t>PASIVO/PN</t>
  </si>
  <si>
    <t>RES. NEGATIVO</t>
  </si>
  <si>
    <t>RES. POSITIVO</t>
  </si>
  <si>
    <t>SUMAS TOTALES</t>
  </si>
  <si>
    <t>RESULTADO DEL EJERCICIO</t>
  </si>
  <si>
    <t>SUMAS IGUALES</t>
  </si>
  <si>
    <t>BG:Balance General</t>
  </si>
  <si>
    <t>ER:Estado de Resultado</t>
  </si>
  <si>
    <t>BANCO GNB CTA CTE</t>
  </si>
  <si>
    <t>PASIVO</t>
  </si>
  <si>
    <t>CAPITAL</t>
  </si>
  <si>
    <t>BANCO GNB SA CTA CTE</t>
  </si>
  <si>
    <t>ASIENTO DE APERTURA</t>
  </si>
  <si>
    <t>DE LA EMPRESA CLAUDE</t>
  </si>
  <si>
    <t>Fondo Fijo</t>
  </si>
  <si>
    <t>CREACION DE FONDO FIJO</t>
  </si>
  <si>
    <t>MUEBLES Y UTILES</t>
  </si>
  <si>
    <t>IVA CF 10%</t>
  </si>
  <si>
    <t>ACREEDORES VARIOS</t>
  </si>
  <si>
    <t>COMPRA DE ESCRITORIO</t>
  </si>
  <si>
    <t>PARA LA OFI SEGÚN FC X</t>
  </si>
  <si>
    <t>EQUIPOS DE INFORMATICA</t>
  </si>
  <si>
    <t>COMPRA DE COMPUTADORA</t>
  </si>
  <si>
    <t>S FC NRO X</t>
  </si>
  <si>
    <t>ELEMENTOS DE TRANSPORTE</t>
  </si>
  <si>
    <t>DOCUMENTOS A PAGAR</t>
  </si>
  <si>
    <t>COMPRA DE VEHICULO PARA</t>
  </si>
  <si>
    <t>6)</t>
  </si>
  <si>
    <t>MERCADERIAS</t>
  </si>
  <si>
    <t>PROVEEDORES</t>
  </si>
  <si>
    <t>COMPRA DE PRODUCTOS PARA</t>
  </si>
  <si>
    <t>LA VENTA CON FC NRO X,</t>
  </si>
  <si>
    <t>CON PAGARE SOLO EL 50%</t>
  </si>
  <si>
    <t>USO DE LA EMPRESA, SEGÚN FC NRO X</t>
  </si>
  <si>
    <t>(+)A</t>
  </si>
  <si>
    <t>(+)P</t>
  </si>
  <si>
    <t>7)</t>
  </si>
  <si>
    <t>costo de la venta(salida de la mercaderia)</t>
  </si>
  <si>
    <t>CALCULO AUXILIAR DE LA VENTA</t>
  </si>
  <si>
    <t>VENTA TOTAL 3100000</t>
  </si>
  <si>
    <t>CANT. 1 COMPUTADORA</t>
  </si>
  <si>
    <t>VENTA DE MERCADERIAS</t>
  </si>
  <si>
    <t>IVA DF 10%</t>
  </si>
  <si>
    <t>COBRO AL CLIENTE</t>
  </si>
  <si>
    <t>PRECIO DE COMPRA</t>
  </si>
  <si>
    <t>COMPRA SIN IVA</t>
  </si>
  <si>
    <t>PRECIO DE SALIDA DEL DEPOSITO</t>
  </si>
  <si>
    <t>venta</t>
  </si>
  <si>
    <t xml:space="preserve">VENTA DE MERCADERIAS </t>
  </si>
  <si>
    <t>PRECIO DE COMPRA DE IVA</t>
  </si>
  <si>
    <t>COSTO DE VENTAS</t>
  </si>
  <si>
    <t>COSTO DE VENTAS (RN)</t>
  </si>
  <si>
    <t xml:space="preserve">RESULTADO </t>
  </si>
  <si>
    <t xml:space="preserve">RESULTADO BRUTO </t>
  </si>
  <si>
    <t>RESULTADO POSITIVO</t>
  </si>
  <si>
    <t>RESULTADO NEGATIVO</t>
  </si>
  <si>
    <t>COSTO DE LA VENTA (SALIDA DE MERCADERIA)</t>
  </si>
  <si>
    <t xml:space="preserve">DIFERENCIA </t>
  </si>
  <si>
    <t>ESTADO</t>
  </si>
  <si>
    <t>DEBITOFISCAL&gt;CREDITOFISCAL</t>
  </si>
  <si>
    <t>S FC CONT NR X</t>
  </si>
  <si>
    <t>COSTO DE VENTAS (RES NEGATIVO)</t>
  </si>
  <si>
    <t>COSTEO POR SALIDA DE MERC</t>
  </si>
  <si>
    <t>SEGÚN FICHA DEL DEPOSITO</t>
  </si>
  <si>
    <t>8)</t>
  </si>
  <si>
    <t>CALCULO DEL SALARIO</t>
  </si>
  <si>
    <t>VENDEDOR</t>
  </si>
  <si>
    <t>IPS SI</t>
  </si>
  <si>
    <t>APORTE OBRERO</t>
  </si>
  <si>
    <t xml:space="preserve">APORTE PATRONAL </t>
  </si>
  <si>
    <t>16.5%</t>
  </si>
  <si>
    <t>MONTO DE CONTRATO</t>
  </si>
  <si>
    <t>APORTE PATRONAL</t>
  </si>
  <si>
    <t>DEUDA IPS</t>
  </si>
  <si>
    <t>COBRO DEL PERSONAL</t>
  </si>
  <si>
    <t>SUELDOS Y JORNALES</t>
  </si>
  <si>
    <t>IPS A PAGAR</t>
  </si>
  <si>
    <t>PAGO DE SALARIO AL VENDEDOR</t>
  </si>
  <si>
    <t>SEGÚN LIQUID DE SALARIO</t>
  </si>
  <si>
    <t>rn+</t>
  </si>
  <si>
    <t>P+</t>
  </si>
  <si>
    <t>A-</t>
  </si>
  <si>
    <t>PERMUTATIVOS</t>
  </si>
  <si>
    <t>MODIFICATIVOS</t>
  </si>
  <si>
    <t>MIXTOS</t>
  </si>
  <si>
    <t>FONDO FIJO</t>
  </si>
  <si>
    <t>creacion de fondo fijo</t>
  </si>
  <si>
    <t>BANCO GNB</t>
  </si>
  <si>
    <t>muebeles Y UTILES</t>
  </si>
  <si>
    <t>COMPRA DE COMPUTADOR</t>
  </si>
  <si>
    <t>COMPRA DE VEHICULO</t>
  </si>
  <si>
    <t>COMPRA DE MERCADERIAS</t>
  </si>
  <si>
    <t>P</t>
  </si>
  <si>
    <t>PERDIDA</t>
  </si>
  <si>
    <t>PATRIMONIO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</si>
</sst>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₲&quot;\ * #,##0_ ;_ &quot;₲&quot;\ * \-#,##0_ ;_ &quot;₲&quot;\ * &quot;-&quot;_ ;_ @_ "/>
    <numFmt numFmtId="41" formatCode="_ * #,##0_ ;_ * \-#,##0_ ;_ * &quot;-&quot;_ ;_ @_ "/>
  </numFmts>
  <fonts count="10" x14ac:knownFonts="1"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6"/>
      <color theme="1"/>
      <name val="Aptos"/>
      <family val="2"/>
    </font>
    <font>
      <sz val="12"/>
      <color theme="1"/>
      <name val="Aptos"/>
      <family val="2"/>
    </font>
    <font>
      <b/>
      <i/>
      <sz val="16"/>
      <color theme="1"/>
      <name val="Aptos"/>
    </font>
    <font>
      <i/>
      <sz val="12"/>
      <color theme="1"/>
      <name val="Aptos"/>
    </font>
    <font>
      <b/>
      <sz val="12"/>
      <color theme="1"/>
      <name val="Aptos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b/>
      <i/>
      <sz val="11"/>
      <color theme="1"/>
      <name val="Consolas"/>
      <family val="3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</cellStyleXfs>
  <cellXfs count="64">
    <xf numFmtId="0" fontId="0" fillId="0" borderId="0" xfId="0"/>
    <xf numFmtId="0" fontId="0" fillId="0" borderId="1" xfId="0" applyBorder="1"/>
    <xf numFmtId="0" fontId="2" fillId="6" borderId="0" xfId="0" applyFont="1" applyFill="1" applyAlignment="1">
      <alignment horizontal="center"/>
    </xf>
    <xf numFmtId="0" fontId="0" fillId="0" borderId="10" xfId="0" applyBorder="1"/>
    <xf numFmtId="0" fontId="1" fillId="5" borderId="11" xfId="0" applyFont="1" applyFill="1" applyBorder="1"/>
    <xf numFmtId="0" fontId="1" fillId="5" borderId="12" xfId="0" applyFont="1" applyFill="1" applyBorder="1"/>
    <xf numFmtId="0" fontId="1" fillId="5" borderId="13" xfId="0" applyFont="1" applyFill="1" applyBorder="1"/>
    <xf numFmtId="0" fontId="4" fillId="6" borderId="0" xfId="0" applyFont="1" applyFill="1" applyAlignment="1">
      <alignment horizontal="right"/>
    </xf>
    <xf numFmtId="0" fontId="4" fillId="6" borderId="0" xfId="0" applyFont="1" applyFill="1" applyAlignment="1">
      <alignment horizontal="left"/>
    </xf>
    <xf numFmtId="0" fontId="4" fillId="6" borderId="0" xfId="0" applyFont="1" applyFill="1" applyAlignment="1">
      <alignment horizontal="center"/>
    </xf>
    <xf numFmtId="0" fontId="5" fillId="0" borderId="0" xfId="0" applyFont="1"/>
    <xf numFmtId="0" fontId="2" fillId="4" borderId="0" xfId="0" applyFont="1" applyFill="1"/>
    <xf numFmtId="0" fontId="0" fillId="4" borderId="0" xfId="0" applyFill="1"/>
    <xf numFmtId="0" fontId="6" fillId="0" borderId="2" xfId="0" applyFont="1" applyBorder="1"/>
    <xf numFmtId="0" fontId="6" fillId="0" borderId="8" xfId="0" applyFont="1" applyBorder="1"/>
    <xf numFmtId="41" fontId="0" fillId="0" borderId="10" xfId="1" applyFont="1" applyBorder="1"/>
    <xf numFmtId="41" fontId="0" fillId="0" borderId="1" xfId="1" applyFont="1" applyBorder="1"/>
    <xf numFmtId="0" fontId="6" fillId="0" borderId="1" xfId="0" applyFont="1" applyBorder="1"/>
    <xf numFmtId="0" fontId="7" fillId="3" borderId="0" xfId="0" applyFont="1" applyFill="1"/>
    <xf numFmtId="42" fontId="8" fillId="3" borderId="0" xfId="2" applyFont="1" applyFill="1"/>
    <xf numFmtId="0" fontId="8" fillId="3" borderId="0" xfId="0" applyFont="1" applyFill="1"/>
    <xf numFmtId="0" fontId="8" fillId="0" borderId="0" xfId="0" applyFont="1"/>
    <xf numFmtId="42" fontId="8" fillId="0" borderId="0" xfId="2" applyFont="1"/>
    <xf numFmtId="0" fontId="7" fillId="0" borderId="1" xfId="0" applyFont="1" applyBorder="1"/>
    <xf numFmtId="42" fontId="7" fillId="0" borderId="1" xfId="2" applyFont="1" applyBorder="1"/>
    <xf numFmtId="0" fontId="8" fillId="0" borderId="5" xfId="0" applyFont="1" applyBorder="1"/>
    <xf numFmtId="0" fontId="8" fillId="0" borderId="1" xfId="0" applyFont="1" applyBorder="1"/>
    <xf numFmtId="14" fontId="8" fillId="0" borderId="1" xfId="0" applyNumberFormat="1" applyFont="1" applyBorder="1"/>
    <xf numFmtId="42" fontId="8" fillId="0" borderId="1" xfId="2" applyFont="1" applyBorder="1"/>
    <xf numFmtId="0" fontId="8" fillId="7" borderId="5" xfId="0" applyFont="1" applyFill="1" applyBorder="1"/>
    <xf numFmtId="0" fontId="9" fillId="0" borderId="1" xfId="0" applyFont="1" applyBorder="1"/>
    <xf numFmtId="0" fontId="8" fillId="8" borderId="1" xfId="0" applyFont="1" applyFill="1" applyBorder="1"/>
    <xf numFmtId="0" fontId="9" fillId="8" borderId="1" xfId="0" applyFont="1" applyFill="1" applyBorder="1"/>
    <xf numFmtId="42" fontId="8" fillId="8" borderId="1" xfId="2" applyFont="1" applyFill="1" applyBorder="1"/>
    <xf numFmtId="42" fontId="7" fillId="0" borderId="0" xfId="2" applyFont="1"/>
    <xf numFmtId="0" fontId="8" fillId="9" borderId="5" xfId="0" applyFont="1" applyFill="1" applyBorder="1"/>
    <xf numFmtId="9" fontId="8" fillId="0" borderId="0" xfId="2" applyNumberFormat="1" applyFont="1"/>
    <xf numFmtId="0" fontId="1" fillId="5" borderId="0" xfId="0" applyFont="1" applyFill="1"/>
    <xf numFmtId="14" fontId="0" fillId="0" borderId="10" xfId="0" applyNumberFormat="1" applyBorder="1"/>
    <xf numFmtId="14" fontId="0" fillId="0" borderId="1" xfId="0" applyNumberFormat="1" applyBorder="1"/>
    <xf numFmtId="42" fontId="0" fillId="0" borderId="10" xfId="0" applyNumberFormat="1" applyBorder="1"/>
    <xf numFmtId="0" fontId="6" fillId="3" borderId="8" xfId="0" applyFont="1" applyFill="1" applyBorder="1"/>
    <xf numFmtId="0" fontId="6" fillId="3" borderId="2" xfId="0" applyFont="1" applyFill="1" applyBorder="1"/>
    <xf numFmtId="0" fontId="7" fillId="0" borderId="0" xfId="0" applyFont="1" applyAlignment="1">
      <alignment horizontal="left" wrapText="1"/>
    </xf>
    <xf numFmtId="0" fontId="7" fillId="4" borderId="7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11" borderId="14" xfId="0" applyFont="1" applyFill="1" applyBorder="1" applyAlignment="1">
      <alignment horizontal="center"/>
    </xf>
    <xf numFmtId="0" fontId="6" fillId="11" borderId="15" xfId="0" applyFont="1" applyFill="1" applyBorder="1" applyAlignment="1">
      <alignment horizontal="center"/>
    </xf>
    <xf numFmtId="0" fontId="6" fillId="10" borderId="14" xfId="0" applyFont="1" applyFill="1" applyBorder="1" applyAlignment="1">
      <alignment horizontal="center"/>
    </xf>
    <xf numFmtId="0" fontId="6" fillId="10" borderId="15" xfId="0" applyFont="1" applyFill="1" applyBorder="1" applyAlignment="1">
      <alignment horizontal="center"/>
    </xf>
    <xf numFmtId="41" fontId="0" fillId="0" borderId="1" xfId="0" applyNumberFormat="1" applyBorder="1"/>
    <xf numFmtId="41" fontId="0" fillId="3" borderId="1" xfId="0" applyNumberFormat="1" applyFill="1" applyBorder="1"/>
    <xf numFmtId="41" fontId="0" fillId="12" borderId="1" xfId="0" applyNumberFormat="1" applyFill="1" applyBorder="1"/>
    <xf numFmtId="41" fontId="0" fillId="13" borderId="1" xfId="0" applyNumberFormat="1" applyFill="1" applyBorder="1"/>
    <xf numFmtId="41" fontId="0" fillId="0" borderId="0" xfId="0" applyNumberFormat="1"/>
  </cellXfs>
  <cellStyles count="3">
    <cellStyle name="Millares [0]" xfId="1" builtinId="6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8"/>
  <sheetViews>
    <sheetView tabSelected="1" zoomScale="90" zoomScaleNormal="90" workbookViewId="0">
      <selection activeCell="D6" sqref="D6"/>
    </sheetView>
  </sheetViews>
  <sheetFormatPr baseColWidth="10" defaultColWidth="11" defaultRowHeight="15" x14ac:dyDescent="0.25"/>
  <cols>
    <col min="1" max="1" width="11" style="21"/>
    <col min="2" max="2" width="17" style="22" bestFit="1" customWidth="1"/>
    <col min="3" max="3" width="11" style="21"/>
    <col min="4" max="4" width="17" style="22" bestFit="1" customWidth="1"/>
    <col min="5" max="5" width="7.6640625" style="21" customWidth="1"/>
    <col min="6" max="6" width="5.6640625" style="21" customWidth="1"/>
    <col min="7" max="7" width="11" style="21"/>
    <col min="8" max="8" width="23.77734375" style="21" customWidth="1"/>
    <col min="9" max="10" width="17" style="22" bestFit="1" customWidth="1"/>
    <col min="11" max="16384" width="11" style="21"/>
  </cols>
  <sheetData>
    <row r="1" spans="1:15" x14ac:dyDescent="0.25">
      <c r="A1" s="18" t="s">
        <v>0</v>
      </c>
      <c r="B1" s="19"/>
      <c r="C1" s="20"/>
      <c r="D1" s="19"/>
      <c r="E1" s="20"/>
    </row>
    <row r="2" spans="1:15" ht="16.5" customHeight="1" x14ac:dyDescent="0.25"/>
    <row r="3" spans="1:15" ht="15.75" thickBot="1" x14ac:dyDescent="0.3">
      <c r="A3" s="43" t="s">
        <v>6</v>
      </c>
      <c r="B3" s="43"/>
      <c r="C3" s="43"/>
      <c r="D3" s="43"/>
      <c r="E3" s="43"/>
      <c r="F3" s="44" t="s">
        <v>7</v>
      </c>
      <c r="G3" s="44"/>
      <c r="H3" s="44"/>
      <c r="I3" s="44"/>
      <c r="J3" s="44"/>
    </row>
    <row r="4" spans="1:15" ht="15.75" thickBot="1" x14ac:dyDescent="0.3">
      <c r="A4" s="47" t="s">
        <v>4</v>
      </c>
      <c r="B4" s="48"/>
      <c r="C4" s="49" t="s">
        <v>5</v>
      </c>
      <c r="D4" s="46"/>
      <c r="F4" s="23" t="s">
        <v>1</v>
      </c>
      <c r="G4" s="23" t="s">
        <v>2</v>
      </c>
      <c r="H4" s="23" t="s">
        <v>3</v>
      </c>
      <c r="I4" s="24" t="s">
        <v>4</v>
      </c>
      <c r="J4" s="24" t="s">
        <v>5</v>
      </c>
      <c r="O4" s="21" t="s">
        <v>29</v>
      </c>
    </row>
    <row r="5" spans="1:15" x14ac:dyDescent="0.25">
      <c r="A5" s="21" t="s">
        <v>31</v>
      </c>
      <c r="B5" s="22">
        <v>50000000</v>
      </c>
      <c r="C5" s="25" t="s">
        <v>32</v>
      </c>
      <c r="D5" s="22">
        <v>0</v>
      </c>
      <c r="F5" s="26">
        <v>1</v>
      </c>
      <c r="G5" s="27">
        <v>46120</v>
      </c>
      <c r="H5" s="26" t="s">
        <v>34</v>
      </c>
      <c r="I5" s="28">
        <v>50000000</v>
      </c>
      <c r="J5" s="28"/>
      <c r="K5" s="21" t="s">
        <v>57</v>
      </c>
      <c r="O5" s="21" t="s">
        <v>30</v>
      </c>
    </row>
    <row r="6" spans="1:15" x14ac:dyDescent="0.25">
      <c r="C6" s="29" t="s">
        <v>33</v>
      </c>
      <c r="D6" s="22">
        <v>50000000</v>
      </c>
      <c r="F6" s="26"/>
      <c r="G6" s="26"/>
      <c r="H6" s="26" t="s">
        <v>33</v>
      </c>
      <c r="I6" s="28"/>
      <c r="J6" s="28">
        <v>50000000</v>
      </c>
    </row>
    <row r="7" spans="1:15" x14ac:dyDescent="0.25">
      <c r="C7" s="25"/>
      <c r="F7" s="26"/>
      <c r="G7" s="26"/>
      <c r="H7" s="30" t="s">
        <v>35</v>
      </c>
      <c r="I7" s="28"/>
      <c r="J7" s="28"/>
    </row>
    <row r="8" spans="1:15" x14ac:dyDescent="0.25">
      <c r="F8" s="26"/>
      <c r="G8" s="26"/>
      <c r="H8" s="30" t="s">
        <v>36</v>
      </c>
      <c r="I8" s="28">
        <f>SUM(I5:I7)</f>
        <v>50000000</v>
      </c>
      <c r="J8" s="28">
        <f>SUM(J5:J7)</f>
        <v>50000000</v>
      </c>
    </row>
    <row r="9" spans="1:15" ht="15.75" thickBot="1" x14ac:dyDescent="0.3">
      <c r="F9" s="31"/>
      <c r="G9" s="31"/>
      <c r="H9" s="32"/>
      <c r="I9" s="33"/>
      <c r="J9" s="33"/>
    </row>
    <row r="10" spans="1:15" ht="15.75" thickBot="1" x14ac:dyDescent="0.3">
      <c r="A10" s="47" t="s">
        <v>4</v>
      </c>
      <c r="B10" s="46"/>
      <c r="C10" s="45" t="s">
        <v>5</v>
      </c>
      <c r="D10" s="46"/>
      <c r="F10" s="26">
        <v>2</v>
      </c>
      <c r="G10" s="27">
        <v>46120</v>
      </c>
      <c r="H10" s="26" t="s">
        <v>37</v>
      </c>
      <c r="I10" s="28">
        <v>1000000</v>
      </c>
      <c r="J10" s="28"/>
    </row>
    <row r="11" spans="1:15" x14ac:dyDescent="0.25">
      <c r="A11" s="21" t="s">
        <v>37</v>
      </c>
      <c r="B11" s="22">
        <v>1000000</v>
      </c>
      <c r="C11" s="25" t="s">
        <v>34</v>
      </c>
      <c r="D11" s="22">
        <v>1000000</v>
      </c>
      <c r="F11" s="26"/>
      <c r="G11" s="26"/>
      <c r="H11" s="26" t="s">
        <v>34</v>
      </c>
      <c r="I11" s="28"/>
      <c r="J11" s="28">
        <v>1000000</v>
      </c>
    </row>
    <row r="12" spans="1:15" x14ac:dyDescent="0.25">
      <c r="C12" s="25"/>
      <c r="F12" s="26"/>
      <c r="G12" s="26"/>
      <c r="H12" s="30" t="s">
        <v>38</v>
      </c>
      <c r="I12" s="28"/>
      <c r="J12" s="28"/>
    </row>
    <row r="13" spans="1:15" x14ac:dyDescent="0.25">
      <c r="C13" s="25"/>
      <c r="F13" s="31"/>
      <c r="G13" s="31"/>
      <c r="H13" s="31"/>
      <c r="I13" s="33"/>
      <c r="J13" s="33"/>
    </row>
    <row r="14" spans="1:15" ht="15.75" thickBot="1" x14ac:dyDescent="0.3">
      <c r="A14" s="21">
        <v>3</v>
      </c>
      <c r="F14" s="26">
        <v>3</v>
      </c>
      <c r="G14" s="27">
        <v>46120</v>
      </c>
      <c r="H14" s="26" t="s">
        <v>39</v>
      </c>
      <c r="I14" s="28">
        <v>750000</v>
      </c>
      <c r="J14" s="28"/>
    </row>
    <row r="15" spans="1:15" ht="15.75" thickBot="1" x14ac:dyDescent="0.3">
      <c r="A15" s="47" t="s">
        <v>4</v>
      </c>
      <c r="B15" s="46"/>
      <c r="C15" s="45" t="s">
        <v>5</v>
      </c>
      <c r="D15" s="46"/>
      <c r="F15" s="26"/>
      <c r="G15" s="26"/>
      <c r="H15" s="26" t="s">
        <v>40</v>
      </c>
      <c r="I15" s="28">
        <v>75000</v>
      </c>
      <c r="J15" s="28"/>
    </row>
    <row r="16" spans="1:15" x14ac:dyDescent="0.25">
      <c r="A16" s="21" t="s">
        <v>39</v>
      </c>
      <c r="B16" s="22">
        <f>825000/1.1</f>
        <v>749999.99999999988</v>
      </c>
      <c r="C16" s="25" t="s">
        <v>41</v>
      </c>
      <c r="D16" s="22">
        <v>825000</v>
      </c>
      <c r="F16" s="26"/>
      <c r="G16" s="26"/>
      <c r="H16" s="26" t="s">
        <v>41</v>
      </c>
      <c r="I16" s="28"/>
      <c r="J16" s="28">
        <v>825000</v>
      </c>
    </row>
    <row r="17" spans="1:11" x14ac:dyDescent="0.25">
      <c r="A17" s="21" t="s">
        <v>40</v>
      </c>
      <c r="B17" s="22">
        <f>(825000*10/100)/(1+10/100)</f>
        <v>75000</v>
      </c>
      <c r="C17" s="25"/>
      <c r="F17" s="26"/>
      <c r="G17" s="26"/>
      <c r="H17" s="30" t="s">
        <v>42</v>
      </c>
      <c r="I17" s="28"/>
      <c r="J17" s="28"/>
    </row>
    <row r="18" spans="1:11" x14ac:dyDescent="0.25">
      <c r="B18" s="34">
        <f>SUM(B16:B17)</f>
        <v>824999.99999999988</v>
      </c>
      <c r="C18" s="25"/>
      <c r="D18" s="22">
        <f>SUM(D16:D17)</f>
        <v>825000</v>
      </c>
      <c r="F18" s="26"/>
      <c r="G18" s="26"/>
      <c r="H18" s="30" t="s">
        <v>43</v>
      </c>
      <c r="I18" s="28"/>
      <c r="J18" s="28"/>
    </row>
    <row r="19" spans="1:11" ht="15.75" thickBot="1" x14ac:dyDescent="0.3">
      <c r="A19" s="21">
        <v>4</v>
      </c>
      <c r="F19" s="33"/>
      <c r="G19" s="33"/>
      <c r="H19" s="33"/>
      <c r="I19" s="33"/>
      <c r="J19" s="33"/>
    </row>
    <row r="20" spans="1:11" ht="15.75" thickBot="1" x14ac:dyDescent="0.3">
      <c r="A20" s="47" t="s">
        <v>4</v>
      </c>
      <c r="B20" s="46"/>
      <c r="C20" s="45" t="s">
        <v>5</v>
      </c>
      <c r="D20" s="46"/>
      <c r="F20" s="26">
        <v>4</v>
      </c>
      <c r="G20" s="27">
        <v>46120</v>
      </c>
      <c r="H20" s="26" t="s">
        <v>44</v>
      </c>
      <c r="I20" s="28">
        <f>B21</f>
        <v>8145454.5454545449</v>
      </c>
      <c r="J20" s="28"/>
      <c r="K20" s="21" t="s">
        <v>57</v>
      </c>
    </row>
    <row r="21" spans="1:11" x14ac:dyDescent="0.25">
      <c r="A21" s="21" t="s">
        <v>44</v>
      </c>
      <c r="B21" s="22">
        <f>8960000/1.1</f>
        <v>8145454.5454545449</v>
      </c>
      <c r="C21" s="25" t="s">
        <v>41</v>
      </c>
      <c r="D21" s="22">
        <v>8960000</v>
      </c>
      <c r="F21" s="26"/>
      <c r="G21" s="26"/>
      <c r="H21" s="26" t="s">
        <v>40</v>
      </c>
      <c r="I21" s="28">
        <f>B22</f>
        <v>814545.45454545459</v>
      </c>
      <c r="J21" s="28"/>
      <c r="K21" s="21" t="s">
        <v>57</v>
      </c>
    </row>
    <row r="22" spans="1:11" x14ac:dyDescent="0.25">
      <c r="A22" s="21" t="s">
        <v>40</v>
      </c>
      <c r="B22" s="22">
        <f>8960000/11</f>
        <v>814545.45454545459</v>
      </c>
      <c r="C22" s="25"/>
      <c r="F22" s="26"/>
      <c r="G22" s="26"/>
      <c r="H22" s="26" t="s">
        <v>41</v>
      </c>
      <c r="I22" s="28"/>
      <c r="J22" s="28">
        <v>8960000</v>
      </c>
      <c r="K22" s="21" t="s">
        <v>58</v>
      </c>
    </row>
    <row r="23" spans="1:11" x14ac:dyDescent="0.25">
      <c r="B23" s="22">
        <f>SUM(B21:B22)</f>
        <v>8960000</v>
      </c>
      <c r="C23" s="25"/>
      <c r="D23" s="22">
        <f>SUM(D21:D22)</f>
        <v>8960000</v>
      </c>
      <c r="F23" s="26"/>
      <c r="G23" s="26"/>
      <c r="H23" s="30" t="s">
        <v>45</v>
      </c>
      <c r="I23" s="28"/>
      <c r="J23" s="28"/>
    </row>
    <row r="24" spans="1:11" ht="15.75" thickBot="1" x14ac:dyDescent="0.3">
      <c r="F24" s="26"/>
      <c r="G24" s="26"/>
      <c r="H24" s="30" t="s">
        <v>46</v>
      </c>
      <c r="I24" s="28"/>
      <c r="J24" s="28"/>
    </row>
    <row r="25" spans="1:11" ht="15.75" thickBot="1" x14ac:dyDescent="0.3">
      <c r="A25" s="47" t="s">
        <v>4</v>
      </c>
      <c r="B25" s="46"/>
      <c r="C25" s="45" t="s">
        <v>5</v>
      </c>
      <c r="D25" s="46"/>
      <c r="F25" s="31"/>
      <c r="G25" s="31"/>
      <c r="H25" s="31"/>
      <c r="I25" s="33"/>
      <c r="J25" s="33"/>
    </row>
    <row r="26" spans="1:11" x14ac:dyDescent="0.25">
      <c r="A26" s="21" t="s">
        <v>47</v>
      </c>
      <c r="B26" s="22">
        <f>25000000/1.1</f>
        <v>22727272.727272727</v>
      </c>
      <c r="C26" s="25" t="s">
        <v>48</v>
      </c>
      <c r="D26" s="22">
        <v>25000000</v>
      </c>
      <c r="F26" s="26">
        <v>5</v>
      </c>
      <c r="G26" s="27">
        <v>46120</v>
      </c>
      <c r="H26" s="21" t="s">
        <v>47</v>
      </c>
      <c r="I26" s="22">
        <f>25000000/1.1</f>
        <v>22727272.727272727</v>
      </c>
      <c r="J26" s="28"/>
      <c r="K26" s="21" t="s">
        <v>57</v>
      </c>
    </row>
    <row r="27" spans="1:11" x14ac:dyDescent="0.25">
      <c r="A27" s="21" t="s">
        <v>40</v>
      </c>
      <c r="B27" s="22">
        <f>25000000/11</f>
        <v>2272727.2727272729</v>
      </c>
      <c r="C27" s="25"/>
      <c r="F27" s="26"/>
      <c r="G27" s="26"/>
      <c r="H27" s="21" t="s">
        <v>40</v>
      </c>
      <c r="I27" s="22">
        <f>25000000/11</f>
        <v>2272727.2727272729</v>
      </c>
      <c r="J27" s="28"/>
      <c r="K27" s="21" t="s">
        <v>57</v>
      </c>
    </row>
    <row r="28" spans="1:11" x14ac:dyDescent="0.25">
      <c r="B28" s="22">
        <f>SUM(B26:B27)</f>
        <v>25000000</v>
      </c>
      <c r="C28" s="25"/>
      <c r="D28" s="22">
        <f>SUM(D26:D27)</f>
        <v>25000000</v>
      </c>
      <c r="F28" s="26"/>
      <c r="G28" s="26"/>
      <c r="H28" s="26" t="s">
        <v>48</v>
      </c>
      <c r="I28" s="28"/>
      <c r="J28" s="28">
        <v>25000000</v>
      </c>
      <c r="K28" s="21" t="s">
        <v>58</v>
      </c>
    </row>
    <row r="29" spans="1:11" ht="15.75" thickBot="1" x14ac:dyDescent="0.3">
      <c r="B29" s="22" t="s">
        <v>50</v>
      </c>
      <c r="F29" s="26"/>
      <c r="G29" s="26"/>
      <c r="H29" s="30" t="s">
        <v>49</v>
      </c>
      <c r="I29" s="28"/>
      <c r="J29" s="28"/>
    </row>
    <row r="30" spans="1:11" ht="15.75" thickBot="1" x14ac:dyDescent="0.3">
      <c r="A30" s="47" t="s">
        <v>4</v>
      </c>
      <c r="B30" s="46"/>
      <c r="C30" s="45" t="s">
        <v>5</v>
      </c>
      <c r="D30" s="46"/>
      <c r="F30" s="26"/>
      <c r="G30" s="26"/>
      <c r="H30" s="30" t="s">
        <v>56</v>
      </c>
      <c r="I30" s="28"/>
      <c r="J30" s="28"/>
    </row>
    <row r="31" spans="1:11" x14ac:dyDescent="0.25">
      <c r="A31" s="21" t="s">
        <v>51</v>
      </c>
      <c r="B31" s="22">
        <f>23560000/1.1</f>
        <v>21418181.818181816</v>
      </c>
      <c r="C31" s="25" t="s">
        <v>48</v>
      </c>
      <c r="D31" s="22">
        <f>23560000*0.5</f>
        <v>11780000</v>
      </c>
      <c r="F31" s="31"/>
      <c r="G31" s="31"/>
      <c r="H31" s="31"/>
      <c r="I31" s="33"/>
      <c r="J31" s="33"/>
    </row>
    <row r="32" spans="1:11" x14ac:dyDescent="0.25">
      <c r="A32" s="21" t="s">
        <v>40</v>
      </c>
      <c r="B32" s="22">
        <f>23560000/11</f>
        <v>2141818.1818181816</v>
      </c>
      <c r="C32" s="25" t="s">
        <v>52</v>
      </c>
      <c r="D32" s="22">
        <f>D31</f>
        <v>11780000</v>
      </c>
      <c r="F32" s="26">
        <v>6</v>
      </c>
      <c r="G32" s="27">
        <v>46120</v>
      </c>
      <c r="H32" s="21" t="s">
        <v>51</v>
      </c>
      <c r="I32" s="22">
        <f>23560000/1.1</f>
        <v>21418181.818181816</v>
      </c>
      <c r="J32" s="28"/>
      <c r="K32" s="21" t="s">
        <v>57</v>
      </c>
    </row>
    <row r="33" spans="1:11" x14ac:dyDescent="0.25">
      <c r="B33" s="22">
        <f>SUM(B31:B32)</f>
        <v>23560000</v>
      </c>
      <c r="C33" s="25"/>
      <c r="D33" s="22">
        <f>SUM(D31:D32)</f>
        <v>23560000</v>
      </c>
      <c r="F33" s="26"/>
      <c r="G33" s="26"/>
      <c r="H33" s="21" t="s">
        <v>40</v>
      </c>
      <c r="I33" s="22">
        <f>23560000/11</f>
        <v>2141818.1818181816</v>
      </c>
      <c r="J33" s="28"/>
      <c r="K33" s="21" t="s">
        <v>57</v>
      </c>
    </row>
    <row r="34" spans="1:11" x14ac:dyDescent="0.25">
      <c r="F34" s="26"/>
      <c r="G34" s="26"/>
      <c r="H34" s="26" t="s">
        <v>48</v>
      </c>
      <c r="I34" s="28"/>
      <c r="J34" s="28">
        <f>D31</f>
        <v>11780000</v>
      </c>
      <c r="K34" s="21" t="s">
        <v>58</v>
      </c>
    </row>
    <row r="35" spans="1:11" ht="15.75" thickBot="1" x14ac:dyDescent="0.3">
      <c r="A35" s="21" t="s">
        <v>59</v>
      </c>
      <c r="B35" s="22" t="s">
        <v>60</v>
      </c>
      <c r="F35" s="26"/>
      <c r="G35" s="26"/>
      <c r="H35" s="26" t="s">
        <v>52</v>
      </c>
      <c r="I35" s="28"/>
      <c r="J35" s="28">
        <f>J34</f>
        <v>11780000</v>
      </c>
      <c r="K35" s="21" t="s">
        <v>58</v>
      </c>
    </row>
    <row r="36" spans="1:11" ht="15.75" thickBot="1" x14ac:dyDescent="0.3">
      <c r="A36" s="47" t="s">
        <v>4</v>
      </c>
      <c r="B36" s="46"/>
      <c r="C36" s="45" t="s">
        <v>5</v>
      </c>
      <c r="D36" s="46"/>
      <c r="F36" s="26"/>
      <c r="G36" s="26"/>
      <c r="H36" s="30" t="s">
        <v>53</v>
      </c>
      <c r="I36" s="28"/>
      <c r="J36" s="28"/>
    </row>
    <row r="37" spans="1:11" x14ac:dyDescent="0.25">
      <c r="C37" s="25"/>
      <c r="F37" s="26"/>
      <c r="G37" s="26"/>
      <c r="H37" s="30" t="s">
        <v>54</v>
      </c>
      <c r="I37" s="28"/>
      <c r="J37" s="28"/>
    </row>
    <row r="38" spans="1:11" x14ac:dyDescent="0.25">
      <c r="C38" s="25"/>
      <c r="F38" s="26"/>
      <c r="G38" s="26"/>
      <c r="H38" s="30" t="s">
        <v>55</v>
      </c>
      <c r="I38" s="28"/>
      <c r="J38" s="28"/>
    </row>
    <row r="39" spans="1:11" x14ac:dyDescent="0.25">
      <c r="C39" s="25"/>
      <c r="F39" s="31"/>
      <c r="G39" s="31"/>
      <c r="H39" s="31"/>
      <c r="I39" s="33"/>
      <c r="J39" s="33"/>
    </row>
    <row r="40" spans="1:11" x14ac:dyDescent="0.25">
      <c r="F40" s="26">
        <v>7</v>
      </c>
      <c r="G40" s="27">
        <v>46120</v>
      </c>
      <c r="H40" s="26" t="s">
        <v>34</v>
      </c>
      <c r="I40" s="28">
        <v>3100000</v>
      </c>
      <c r="J40" s="28"/>
    </row>
    <row r="41" spans="1:11" x14ac:dyDescent="0.25">
      <c r="F41" s="26"/>
      <c r="G41" s="26"/>
      <c r="H41" s="26" t="s">
        <v>64</v>
      </c>
      <c r="I41" s="28"/>
      <c r="J41" s="28">
        <f>D55</f>
        <v>2818181.8181818179</v>
      </c>
    </row>
    <row r="42" spans="1:11" x14ac:dyDescent="0.25">
      <c r="A42" s="21" t="s">
        <v>61</v>
      </c>
      <c r="F42" s="26"/>
      <c r="G42" s="26"/>
      <c r="H42" s="26" t="s">
        <v>40</v>
      </c>
      <c r="I42" s="28"/>
      <c r="J42" s="28">
        <f>D56</f>
        <v>281818.18181818182</v>
      </c>
    </row>
    <row r="43" spans="1:11" x14ac:dyDescent="0.25">
      <c r="A43" s="21" t="s">
        <v>62</v>
      </c>
      <c r="B43" s="22">
        <v>3100000</v>
      </c>
      <c r="C43" s="21" t="s">
        <v>63</v>
      </c>
      <c r="F43" s="26"/>
      <c r="G43" s="26"/>
      <c r="H43" s="30" t="s">
        <v>64</v>
      </c>
      <c r="I43" s="28"/>
      <c r="J43" s="28"/>
    </row>
    <row r="44" spans="1:11" x14ac:dyDescent="0.25">
      <c r="F44" s="26"/>
      <c r="G44" s="26"/>
      <c r="H44" s="30" t="s">
        <v>83</v>
      </c>
      <c r="I44" s="28"/>
      <c r="J44" s="28"/>
    </row>
    <row r="45" spans="1:11" x14ac:dyDescent="0.25">
      <c r="A45" s="21" t="s">
        <v>64</v>
      </c>
      <c r="B45" s="22">
        <f>B43/1.1</f>
        <v>2818181.8181818179</v>
      </c>
      <c r="F45" s="31"/>
      <c r="G45" s="31"/>
      <c r="H45" s="31"/>
      <c r="I45" s="33"/>
      <c r="J45" s="33"/>
    </row>
    <row r="46" spans="1:11" x14ac:dyDescent="0.25">
      <c r="A46" s="21" t="s">
        <v>65</v>
      </c>
      <c r="B46" s="22">
        <f>B43/11</f>
        <v>281818.18181818182</v>
      </c>
      <c r="F46" s="26">
        <v>8</v>
      </c>
      <c r="G46" s="27">
        <v>46120</v>
      </c>
      <c r="H46" s="26" t="s">
        <v>84</v>
      </c>
      <c r="I46" s="28">
        <f>B49</f>
        <v>2141818.1818181816</v>
      </c>
      <c r="J46" s="28"/>
    </row>
    <row r="47" spans="1:11" x14ac:dyDescent="0.25">
      <c r="A47" s="21" t="s">
        <v>66</v>
      </c>
      <c r="B47" s="22">
        <f>SUM(B45:B46)</f>
        <v>3099999.9999999995</v>
      </c>
      <c r="F47" s="26"/>
      <c r="G47" s="26"/>
      <c r="H47" s="26" t="s">
        <v>51</v>
      </c>
      <c r="I47" s="28"/>
      <c r="J47" s="28">
        <f>I46</f>
        <v>2141818.1818181816</v>
      </c>
    </row>
    <row r="48" spans="1:11" x14ac:dyDescent="0.25">
      <c r="A48" s="21" t="s">
        <v>67</v>
      </c>
      <c r="B48" s="22">
        <f>23560000/10</f>
        <v>2356000</v>
      </c>
      <c r="F48" s="26"/>
      <c r="G48" s="26"/>
      <c r="H48" s="30" t="s">
        <v>85</v>
      </c>
      <c r="I48" s="28"/>
      <c r="J48" s="28"/>
    </row>
    <row r="49" spans="1:11" x14ac:dyDescent="0.25">
      <c r="A49" s="21" t="s">
        <v>68</v>
      </c>
      <c r="B49" s="22">
        <f>2356000/1.1</f>
        <v>2141818.1818181816</v>
      </c>
      <c r="C49" s="25"/>
      <c r="F49" s="26"/>
      <c r="G49" s="26"/>
      <c r="H49" s="30" t="s">
        <v>86</v>
      </c>
      <c r="I49" s="28"/>
      <c r="J49" s="28"/>
    </row>
    <row r="50" spans="1:11" x14ac:dyDescent="0.25">
      <c r="A50" s="21" t="s">
        <v>40</v>
      </c>
      <c r="B50" s="22">
        <f>B48/11</f>
        <v>214181.81818181818</v>
      </c>
      <c r="C50" s="25"/>
      <c r="F50" s="31"/>
      <c r="G50" s="31"/>
      <c r="H50" s="31"/>
      <c r="I50" s="33"/>
      <c r="J50" s="33"/>
    </row>
    <row r="51" spans="1:11" x14ac:dyDescent="0.25">
      <c r="A51" s="21" t="s">
        <v>69</v>
      </c>
      <c r="B51" s="22">
        <f>B49</f>
        <v>2141818.1818181816</v>
      </c>
      <c r="C51" s="25"/>
      <c r="F51" s="26">
        <v>9</v>
      </c>
      <c r="G51" s="27">
        <v>46120</v>
      </c>
      <c r="H51" s="26" t="s">
        <v>98</v>
      </c>
      <c r="I51" s="28">
        <v>3500000</v>
      </c>
      <c r="J51" s="28"/>
      <c r="K51" s="21" t="s">
        <v>102</v>
      </c>
    </row>
    <row r="52" spans="1:11" x14ac:dyDescent="0.25">
      <c r="F52" s="26"/>
      <c r="G52" s="26"/>
      <c r="H52" s="26" t="s">
        <v>95</v>
      </c>
      <c r="I52" s="28">
        <v>577500</v>
      </c>
      <c r="J52" s="28"/>
      <c r="K52" s="21" t="s">
        <v>102</v>
      </c>
    </row>
    <row r="53" spans="1:11" ht="15.75" thickBot="1" x14ac:dyDescent="0.3">
      <c r="A53" s="21" t="s">
        <v>59</v>
      </c>
      <c r="B53" s="22" t="s">
        <v>70</v>
      </c>
      <c r="F53" s="26"/>
      <c r="G53" s="26"/>
      <c r="H53" s="26" t="s">
        <v>99</v>
      </c>
      <c r="I53" s="28"/>
      <c r="J53" s="28">
        <v>892500</v>
      </c>
      <c r="K53" s="21" t="s">
        <v>103</v>
      </c>
    </row>
    <row r="54" spans="1:11" ht="15.75" thickBot="1" x14ac:dyDescent="0.3">
      <c r="A54" s="47" t="s">
        <v>4</v>
      </c>
      <c r="B54" s="46"/>
      <c r="C54" s="45" t="s">
        <v>5</v>
      </c>
      <c r="D54" s="46"/>
      <c r="F54" s="26"/>
      <c r="G54" s="26"/>
      <c r="H54" s="26" t="s">
        <v>31</v>
      </c>
      <c r="I54" s="28"/>
      <c r="J54" s="28">
        <v>3185000</v>
      </c>
      <c r="K54" s="21" t="s">
        <v>104</v>
      </c>
    </row>
    <row r="55" spans="1:11" x14ac:dyDescent="0.25">
      <c r="A55" s="21" t="s">
        <v>34</v>
      </c>
      <c r="B55" s="22">
        <v>3100000</v>
      </c>
      <c r="C55" s="35" t="s">
        <v>71</v>
      </c>
      <c r="D55" s="22">
        <f>B45</f>
        <v>2818181.8181818179</v>
      </c>
      <c r="F55" s="26"/>
      <c r="G55" s="26"/>
      <c r="H55" s="30" t="s">
        <v>100</v>
      </c>
      <c r="I55" s="28"/>
      <c r="J55" s="28"/>
    </row>
    <row r="56" spans="1:11" x14ac:dyDescent="0.25">
      <c r="C56" s="25" t="s">
        <v>40</v>
      </c>
      <c r="D56" s="22">
        <f>B43/11</f>
        <v>281818.18181818182</v>
      </c>
      <c r="F56" s="26"/>
      <c r="G56" s="26"/>
      <c r="H56" s="30" t="s">
        <v>101</v>
      </c>
      <c r="I56" s="28"/>
      <c r="J56" s="28"/>
    </row>
    <row r="57" spans="1:11" x14ac:dyDescent="0.25">
      <c r="C57" s="25"/>
    </row>
    <row r="60" spans="1:11" ht="15.75" thickBot="1" x14ac:dyDescent="0.3">
      <c r="A60" s="21" t="s">
        <v>59</v>
      </c>
      <c r="B60" s="22" t="s">
        <v>79</v>
      </c>
    </row>
    <row r="61" spans="1:11" ht="15.75" thickBot="1" x14ac:dyDescent="0.3">
      <c r="A61" s="47" t="s">
        <v>4</v>
      </c>
      <c r="B61" s="46"/>
      <c r="C61" s="45" t="s">
        <v>5</v>
      </c>
      <c r="D61" s="46"/>
    </row>
    <row r="62" spans="1:11" x14ac:dyDescent="0.25">
      <c r="A62" s="21" t="s">
        <v>74</v>
      </c>
      <c r="B62" s="22">
        <f>D62</f>
        <v>2141818.1818181816</v>
      </c>
      <c r="C62" s="25" t="s">
        <v>51</v>
      </c>
      <c r="D62" s="22">
        <f>B49</f>
        <v>2141818.1818181816</v>
      </c>
      <c r="E62" s="21" t="s">
        <v>72</v>
      </c>
    </row>
    <row r="63" spans="1:11" x14ac:dyDescent="0.25">
      <c r="C63" s="25"/>
    </row>
    <row r="64" spans="1:11" x14ac:dyDescent="0.25">
      <c r="A64" s="21" t="s">
        <v>64</v>
      </c>
      <c r="B64" s="22">
        <f>B45</f>
        <v>2818181.8181818179</v>
      </c>
      <c r="C64" s="25" t="s">
        <v>77</v>
      </c>
    </row>
    <row r="65" spans="1:4" x14ac:dyDescent="0.25">
      <c r="A65" s="21" t="s">
        <v>73</v>
      </c>
      <c r="B65" s="22">
        <f>B49</f>
        <v>2141818.1818181816</v>
      </c>
      <c r="C65" s="21" t="s">
        <v>78</v>
      </c>
    </row>
    <row r="66" spans="1:4" x14ac:dyDescent="0.25">
      <c r="A66" s="21" t="s">
        <v>75</v>
      </c>
      <c r="B66" s="22">
        <f>B64-B65</f>
        <v>676363.63636363624</v>
      </c>
      <c r="C66" s="21" t="s">
        <v>76</v>
      </c>
    </row>
    <row r="68" spans="1:4" x14ac:dyDescent="0.25">
      <c r="A68" s="21" t="s">
        <v>40</v>
      </c>
      <c r="B68" s="22">
        <f>B50</f>
        <v>214181.81818181818</v>
      </c>
    </row>
    <row r="69" spans="1:4" x14ac:dyDescent="0.25">
      <c r="A69" s="21" t="s">
        <v>65</v>
      </c>
      <c r="B69" s="22">
        <f>B46</f>
        <v>281818.18181818182</v>
      </c>
    </row>
    <row r="70" spans="1:4" x14ac:dyDescent="0.25">
      <c r="A70" s="21" t="s">
        <v>80</v>
      </c>
      <c r="B70" s="22">
        <f>B69-B68</f>
        <v>67636.363636363647</v>
      </c>
      <c r="C70" s="21" t="s">
        <v>81</v>
      </c>
      <c r="D70" s="22" t="s">
        <v>82</v>
      </c>
    </row>
    <row r="73" spans="1:4" x14ac:dyDescent="0.25">
      <c r="A73" s="21" t="s">
        <v>87</v>
      </c>
    </row>
    <row r="74" spans="1:4" x14ac:dyDescent="0.25">
      <c r="A74" s="21" t="s">
        <v>88</v>
      </c>
    </row>
    <row r="75" spans="1:4" x14ac:dyDescent="0.25">
      <c r="A75" s="21" t="s">
        <v>89</v>
      </c>
      <c r="B75" s="22">
        <v>3500000</v>
      </c>
      <c r="C75" s="21" t="s">
        <v>90</v>
      </c>
    </row>
    <row r="76" spans="1:4" x14ac:dyDescent="0.25">
      <c r="A76" s="21" t="s">
        <v>91</v>
      </c>
      <c r="B76" s="36">
        <v>0.09</v>
      </c>
    </row>
    <row r="77" spans="1:4" x14ac:dyDescent="0.25">
      <c r="A77" s="21" t="s">
        <v>92</v>
      </c>
      <c r="B77" s="22" t="s">
        <v>93</v>
      </c>
    </row>
    <row r="79" spans="1:4" x14ac:dyDescent="0.25">
      <c r="A79" s="21" t="s">
        <v>94</v>
      </c>
      <c r="B79" s="22">
        <v>3500000</v>
      </c>
    </row>
    <row r="80" spans="1:4" x14ac:dyDescent="0.25">
      <c r="A80" s="21" t="s">
        <v>91</v>
      </c>
      <c r="B80" s="22">
        <f>3500000*9%</f>
        <v>315000</v>
      </c>
    </row>
    <row r="81" spans="1:4" x14ac:dyDescent="0.25">
      <c r="A81" s="21" t="s">
        <v>95</v>
      </c>
      <c r="B81" s="22">
        <f>B79*16.5%</f>
        <v>577500</v>
      </c>
    </row>
    <row r="82" spans="1:4" x14ac:dyDescent="0.25">
      <c r="A82" s="21" t="s">
        <v>96</v>
      </c>
      <c r="B82" s="22">
        <f>B80+B81</f>
        <v>892500</v>
      </c>
    </row>
    <row r="83" spans="1:4" x14ac:dyDescent="0.25">
      <c r="A83" s="21" t="s">
        <v>97</v>
      </c>
      <c r="B83" s="22">
        <f>B79-B80</f>
        <v>3185000</v>
      </c>
    </row>
    <row r="84" spans="1:4" ht="15.75" thickBot="1" x14ac:dyDescent="0.3"/>
    <row r="85" spans="1:4" ht="15.75" thickBot="1" x14ac:dyDescent="0.3">
      <c r="A85" s="47" t="s">
        <v>4</v>
      </c>
      <c r="B85" s="46"/>
      <c r="C85" s="45" t="s">
        <v>5</v>
      </c>
      <c r="D85" s="46"/>
    </row>
    <row r="86" spans="1:4" x14ac:dyDescent="0.25">
      <c r="A86" s="21" t="s">
        <v>98</v>
      </c>
      <c r="B86" s="22">
        <f>3500000</f>
        <v>3500000</v>
      </c>
      <c r="C86" s="25" t="s">
        <v>99</v>
      </c>
      <c r="D86" s="22">
        <f>B82</f>
        <v>892500</v>
      </c>
    </row>
    <row r="87" spans="1:4" x14ac:dyDescent="0.25">
      <c r="A87" s="21" t="s">
        <v>95</v>
      </c>
      <c r="B87" s="22">
        <f>B81</f>
        <v>577500</v>
      </c>
      <c r="C87" s="25" t="s">
        <v>31</v>
      </c>
      <c r="D87" s="22">
        <v>3185000</v>
      </c>
    </row>
    <row r="88" spans="1:4" x14ac:dyDescent="0.25">
      <c r="B88" s="22">
        <f>SUM(B86:B87)</f>
        <v>4077500</v>
      </c>
      <c r="C88" s="25"/>
      <c r="D88" s="22">
        <f>SUM(D86:D87)</f>
        <v>4077500</v>
      </c>
    </row>
  </sheetData>
  <mergeCells count="22">
    <mergeCell ref="A61:B61"/>
    <mergeCell ref="C61:D61"/>
    <mergeCell ref="A85:B85"/>
    <mergeCell ref="C85:D85"/>
    <mergeCell ref="A54:B54"/>
    <mergeCell ref="C54:D54"/>
    <mergeCell ref="A30:B30"/>
    <mergeCell ref="C30:D30"/>
    <mergeCell ref="A36:B36"/>
    <mergeCell ref="C36:D36"/>
    <mergeCell ref="A4:B4"/>
    <mergeCell ref="C4:D4"/>
    <mergeCell ref="A20:B20"/>
    <mergeCell ref="C20:D20"/>
    <mergeCell ref="A25:B25"/>
    <mergeCell ref="C25:D25"/>
    <mergeCell ref="A3:E3"/>
    <mergeCell ref="F3:J3"/>
    <mergeCell ref="C10:D10"/>
    <mergeCell ref="A10:B10"/>
    <mergeCell ref="A15:B15"/>
    <mergeCell ref="C15:D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workbookViewId="0">
      <selection activeCell="B4" sqref="B4"/>
    </sheetView>
  </sheetViews>
  <sheetFormatPr baseColWidth="10" defaultRowHeight="15.75" x14ac:dyDescent="0.25"/>
  <cols>
    <col min="3" max="3" width="23" customWidth="1"/>
    <col min="4" max="4" width="12.44140625" bestFit="1" customWidth="1"/>
    <col min="6" max="6" width="12.44140625" bestFit="1" customWidth="1"/>
  </cols>
  <sheetData>
    <row r="1" spans="1:8" ht="21" x14ac:dyDescent="0.35">
      <c r="A1" s="50" t="s">
        <v>8</v>
      </c>
      <c r="B1" s="50"/>
      <c r="C1" s="50"/>
      <c r="D1" s="50"/>
      <c r="E1" s="50"/>
    </row>
    <row r="2" spans="1:8" ht="21" x14ac:dyDescent="0.35">
      <c r="A2" s="2"/>
      <c r="B2" s="2"/>
      <c r="C2" s="2"/>
      <c r="D2" s="2"/>
      <c r="E2" s="2"/>
    </row>
    <row r="3" spans="1:8" ht="21.75" thickBot="1" x14ac:dyDescent="0.4">
      <c r="A3" s="7" t="s">
        <v>11</v>
      </c>
      <c r="B3" s="8">
        <v>1</v>
      </c>
      <c r="C3" s="7" t="s">
        <v>12</v>
      </c>
      <c r="D3" s="8" t="s">
        <v>110</v>
      </c>
      <c r="E3" s="9"/>
      <c r="F3" s="10"/>
      <c r="H3" t="s">
        <v>107</v>
      </c>
    </row>
    <row r="4" spans="1:8" ht="16.5" thickBot="1" x14ac:dyDescent="0.3">
      <c r="A4" s="4" t="s">
        <v>1</v>
      </c>
      <c r="B4" s="5" t="s">
        <v>2</v>
      </c>
      <c r="C4" s="5" t="s">
        <v>10</v>
      </c>
      <c r="D4" s="5" t="s">
        <v>4</v>
      </c>
      <c r="E4" s="5" t="s">
        <v>5</v>
      </c>
      <c r="F4" s="6" t="s">
        <v>9</v>
      </c>
      <c r="H4" s="37" t="s">
        <v>106</v>
      </c>
    </row>
    <row r="5" spans="1:8" x14ac:dyDescent="0.25">
      <c r="A5" s="3"/>
      <c r="B5" s="3"/>
      <c r="C5" s="3"/>
      <c r="D5" s="3"/>
      <c r="E5" s="3"/>
      <c r="F5" s="3"/>
      <c r="H5" t="s">
        <v>105</v>
      </c>
    </row>
    <row r="6" spans="1:8" x14ac:dyDescent="0.25">
      <c r="A6" s="1"/>
      <c r="B6" s="1"/>
      <c r="C6" s="1"/>
      <c r="D6" s="1"/>
      <c r="E6" s="1"/>
      <c r="F6" s="1"/>
    </row>
    <row r="7" spans="1:8" x14ac:dyDescent="0.25">
      <c r="A7" s="1"/>
      <c r="B7" s="1"/>
      <c r="C7" s="1"/>
      <c r="D7" s="1"/>
      <c r="E7" s="1"/>
      <c r="F7" s="1"/>
    </row>
    <row r="8" spans="1:8" x14ac:dyDescent="0.25">
      <c r="A8" s="1"/>
      <c r="B8" s="1"/>
      <c r="C8" s="1"/>
      <c r="D8" s="1"/>
      <c r="E8" s="1"/>
      <c r="F8" s="1"/>
    </row>
    <row r="11" spans="1:8" ht="21.75" thickBot="1" x14ac:dyDescent="0.4">
      <c r="A11" s="7" t="s">
        <v>11</v>
      </c>
      <c r="B11" s="8">
        <v>2</v>
      </c>
      <c r="C11" s="7" t="s">
        <v>12</v>
      </c>
      <c r="D11" s="8" t="s">
        <v>33</v>
      </c>
      <c r="E11" s="9"/>
      <c r="F11" s="10"/>
    </row>
    <row r="12" spans="1:8" ht="16.5" thickBot="1" x14ac:dyDescent="0.3">
      <c r="A12" s="4" t="s">
        <v>1</v>
      </c>
      <c r="B12" s="5" t="s">
        <v>2</v>
      </c>
      <c r="C12" s="5" t="s">
        <v>10</v>
      </c>
      <c r="D12" s="5" t="s">
        <v>4</v>
      </c>
      <c r="E12" s="5" t="s">
        <v>5</v>
      </c>
      <c r="F12" s="6" t="s">
        <v>9</v>
      </c>
    </row>
    <row r="13" spans="1:8" x14ac:dyDescent="0.25">
      <c r="A13" s="3">
        <f>'LIBRO DIARIO'!F5</f>
        <v>1</v>
      </c>
      <c r="B13" s="38">
        <v>46120</v>
      </c>
      <c r="C13" s="3"/>
      <c r="D13" s="3"/>
      <c r="E13" s="3"/>
      <c r="F13" s="3"/>
    </row>
    <row r="14" spans="1:8" x14ac:dyDescent="0.25">
      <c r="A14" s="1"/>
      <c r="B14" s="1"/>
      <c r="C14" s="1"/>
      <c r="D14" s="1"/>
      <c r="E14" s="1"/>
      <c r="F14" s="1"/>
    </row>
    <row r="15" spans="1:8" x14ac:dyDescent="0.25">
      <c r="A15" s="1"/>
      <c r="B15" s="1"/>
      <c r="C15" s="1"/>
      <c r="D15" s="1"/>
      <c r="E15" s="1"/>
      <c r="F15" s="1"/>
    </row>
    <row r="16" spans="1:8" x14ac:dyDescent="0.25">
      <c r="A16" s="1"/>
      <c r="B16" s="1"/>
      <c r="C16" s="1"/>
      <c r="D16" s="1"/>
      <c r="E16" s="1"/>
      <c r="F16" s="1"/>
    </row>
    <row r="19" spans="1:6" ht="21.75" thickBot="1" x14ac:dyDescent="0.4">
      <c r="A19" s="7" t="s">
        <v>11</v>
      </c>
      <c r="B19" s="8">
        <v>3</v>
      </c>
      <c r="C19" s="7" t="s">
        <v>12</v>
      </c>
      <c r="D19" s="8" t="s">
        <v>108</v>
      </c>
      <c r="E19" s="9"/>
      <c r="F19" s="10"/>
    </row>
    <row r="20" spans="1:6" ht="16.5" thickBot="1" x14ac:dyDescent="0.3">
      <c r="A20" s="4" t="s">
        <v>1</v>
      </c>
      <c r="B20" s="5" t="s">
        <v>2</v>
      </c>
      <c r="C20" s="5" t="s">
        <v>10</v>
      </c>
      <c r="D20" s="5" t="s">
        <v>4</v>
      </c>
      <c r="E20" s="5" t="s">
        <v>5</v>
      </c>
      <c r="F20" s="6" t="s">
        <v>9</v>
      </c>
    </row>
    <row r="21" spans="1:6" x14ac:dyDescent="0.25">
      <c r="A21" s="3">
        <v>2</v>
      </c>
      <c r="B21" s="38">
        <v>46120</v>
      </c>
      <c r="C21" s="3" t="s">
        <v>109</v>
      </c>
      <c r="D21" s="3"/>
      <c r="E21" s="3"/>
      <c r="F21" s="3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7" spans="1:6" ht="21.75" thickBot="1" x14ac:dyDescent="0.4">
      <c r="A27" s="7" t="s">
        <v>11</v>
      </c>
      <c r="B27" s="8">
        <v>4</v>
      </c>
      <c r="C27" s="7" t="s">
        <v>12</v>
      </c>
      <c r="D27" s="8" t="s">
        <v>111</v>
      </c>
      <c r="E27" s="9"/>
      <c r="F27" s="10"/>
    </row>
    <row r="28" spans="1:6" ht="16.5" thickBot="1" x14ac:dyDescent="0.3">
      <c r="A28" s="4" t="s">
        <v>1</v>
      </c>
      <c r="B28" s="5" t="s">
        <v>2</v>
      </c>
      <c r="C28" s="5" t="s">
        <v>10</v>
      </c>
      <c r="D28" s="5" t="s">
        <v>4</v>
      </c>
      <c r="E28" s="5" t="s">
        <v>5</v>
      </c>
      <c r="F28" s="6" t="s">
        <v>9</v>
      </c>
    </row>
    <row r="29" spans="1:6" x14ac:dyDescent="0.25">
      <c r="A29" s="3"/>
      <c r="B29" s="3"/>
      <c r="C29" s="3"/>
      <c r="D29" s="3"/>
      <c r="E29" s="3"/>
      <c r="F29" s="3"/>
    </row>
    <row r="30" spans="1:6" x14ac:dyDescent="0.25">
      <c r="A30" s="1"/>
      <c r="B30" s="1"/>
      <c r="C30" s="1"/>
      <c r="D30" s="1"/>
      <c r="E30" s="1"/>
      <c r="F30" s="1"/>
    </row>
    <row r="31" spans="1:6" x14ac:dyDescent="0.25">
      <c r="A31" s="1"/>
      <c r="B31" s="1"/>
      <c r="C31" s="1"/>
      <c r="D31" s="1"/>
      <c r="E31" s="1"/>
      <c r="F31" s="1"/>
    </row>
    <row r="32" spans="1:6" x14ac:dyDescent="0.25">
      <c r="A32" s="1"/>
      <c r="B32" s="1"/>
      <c r="C32" s="1"/>
      <c r="D32" s="1"/>
      <c r="E32" s="1"/>
      <c r="F32" s="1"/>
    </row>
    <row r="35" spans="1:6" ht="21.75" thickBot="1" x14ac:dyDescent="0.4">
      <c r="A35" s="7" t="s">
        <v>11</v>
      </c>
      <c r="B35" s="8">
        <v>5</v>
      </c>
      <c r="C35" s="7" t="s">
        <v>12</v>
      </c>
      <c r="D35" s="8" t="s">
        <v>40</v>
      </c>
      <c r="E35" s="9"/>
      <c r="F35" s="10"/>
    </row>
    <row r="36" spans="1:6" ht="16.5" thickBot="1" x14ac:dyDescent="0.3">
      <c r="A36" s="4" t="s">
        <v>1</v>
      </c>
      <c r="B36" s="5" t="s">
        <v>2</v>
      </c>
      <c r="C36" s="5" t="s">
        <v>10</v>
      </c>
      <c r="D36" s="5" t="s">
        <v>4</v>
      </c>
      <c r="E36" s="5" t="s">
        <v>5</v>
      </c>
      <c r="F36" s="6" t="s">
        <v>9</v>
      </c>
    </row>
    <row r="37" spans="1:6" x14ac:dyDescent="0.25">
      <c r="A37" s="3">
        <v>3</v>
      </c>
      <c r="B37" s="38">
        <v>46120</v>
      </c>
      <c r="C37" s="3" t="s">
        <v>42</v>
      </c>
      <c r="D37" s="3">
        <v>75000</v>
      </c>
      <c r="E37" s="3">
        <v>0</v>
      </c>
      <c r="F37" s="3">
        <v>75000</v>
      </c>
    </row>
    <row r="38" spans="1:6" x14ac:dyDescent="0.25">
      <c r="A38" s="1">
        <v>4</v>
      </c>
      <c r="B38" s="39">
        <v>46120</v>
      </c>
      <c r="C38" s="1" t="s">
        <v>112</v>
      </c>
      <c r="D38" s="1">
        <v>814545</v>
      </c>
      <c r="E38" s="1">
        <v>0</v>
      </c>
      <c r="F38" s="1">
        <f>D38+F37</f>
        <v>889545</v>
      </c>
    </row>
    <row r="39" spans="1:6" x14ac:dyDescent="0.25">
      <c r="A39" s="1">
        <v>5</v>
      </c>
      <c r="B39" s="39">
        <v>46120</v>
      </c>
      <c r="C39" s="1" t="s">
        <v>113</v>
      </c>
      <c r="D39" s="1">
        <v>2272727</v>
      </c>
      <c r="E39" s="1">
        <v>0</v>
      </c>
      <c r="F39" s="1">
        <f>D39+F38</f>
        <v>3162272</v>
      </c>
    </row>
    <row r="40" spans="1:6" x14ac:dyDescent="0.25">
      <c r="A40" s="1">
        <v>6</v>
      </c>
      <c r="B40" s="39">
        <v>46120</v>
      </c>
      <c r="C40" s="1" t="s">
        <v>114</v>
      </c>
      <c r="D40" s="1">
        <v>2141818</v>
      </c>
      <c r="E40" s="1">
        <v>0</v>
      </c>
      <c r="F40" s="1">
        <f>F39+D40</f>
        <v>5304090</v>
      </c>
    </row>
    <row r="41" spans="1:6" x14ac:dyDescent="0.25">
      <c r="D41">
        <f>SUM(D37:D40)</f>
        <v>5304090</v>
      </c>
      <c r="F41">
        <f>F40</f>
        <v>5304090</v>
      </c>
    </row>
    <row r="43" spans="1:6" ht="21.75" thickBot="1" x14ac:dyDescent="0.4">
      <c r="A43" s="7" t="s">
        <v>11</v>
      </c>
      <c r="B43" s="8">
        <v>6</v>
      </c>
      <c r="C43" s="7" t="s">
        <v>12</v>
      </c>
      <c r="D43" s="8" t="s">
        <v>41</v>
      </c>
      <c r="E43" s="9"/>
      <c r="F43" s="10"/>
    </row>
    <row r="44" spans="1:6" ht="16.5" thickBot="1" x14ac:dyDescent="0.3">
      <c r="A44" s="4" t="s">
        <v>1</v>
      </c>
      <c r="B44" s="5" t="s">
        <v>2</v>
      </c>
      <c r="C44" s="5" t="s">
        <v>10</v>
      </c>
      <c r="D44" s="5" t="s">
        <v>4</v>
      </c>
      <c r="E44" s="5" t="s">
        <v>5</v>
      </c>
      <c r="F44" s="6" t="s">
        <v>9</v>
      </c>
    </row>
    <row r="45" spans="1:6" x14ac:dyDescent="0.25">
      <c r="A45" s="3">
        <v>3</v>
      </c>
      <c r="B45" s="38">
        <v>46120</v>
      </c>
      <c r="C45" s="3"/>
      <c r="D45" s="3"/>
      <c r="E45" s="3"/>
      <c r="F45" s="3"/>
    </row>
    <row r="46" spans="1:6" x14ac:dyDescent="0.25">
      <c r="A46" s="1">
        <v>4</v>
      </c>
      <c r="B46" s="1"/>
      <c r="C46" s="1"/>
      <c r="D46" s="1"/>
      <c r="E46" s="1"/>
      <c r="F46" s="1"/>
    </row>
    <row r="47" spans="1:6" x14ac:dyDescent="0.25">
      <c r="A47" s="1"/>
      <c r="B47" s="1"/>
      <c r="C47" s="1"/>
      <c r="D47" s="1"/>
      <c r="E47" s="1"/>
      <c r="F47" s="1"/>
    </row>
    <row r="48" spans="1:6" x14ac:dyDescent="0.25">
      <c r="A48" s="1"/>
      <c r="B48" s="1"/>
      <c r="C48" s="1"/>
      <c r="D48" s="1"/>
      <c r="E48" s="1"/>
      <c r="F48" s="1"/>
    </row>
    <row r="51" spans="1:6" ht="21.75" thickBot="1" x14ac:dyDescent="0.4">
      <c r="A51" s="7" t="s">
        <v>11</v>
      </c>
      <c r="B51" s="8">
        <v>7</v>
      </c>
      <c r="C51" s="7" t="s">
        <v>12</v>
      </c>
      <c r="D51" s="8" t="s">
        <v>44</v>
      </c>
      <c r="E51" s="9"/>
      <c r="F51" s="10"/>
    </row>
    <row r="52" spans="1:6" ht="16.5" thickBot="1" x14ac:dyDescent="0.3">
      <c r="A52" s="4" t="s">
        <v>1</v>
      </c>
      <c r="B52" s="5" t="s">
        <v>2</v>
      </c>
      <c r="C52" s="5" t="s">
        <v>10</v>
      </c>
      <c r="D52" s="5" t="s">
        <v>4</v>
      </c>
      <c r="E52" s="5" t="s">
        <v>5</v>
      </c>
      <c r="F52" s="6" t="s">
        <v>9</v>
      </c>
    </row>
    <row r="53" spans="1:6" x14ac:dyDescent="0.25">
      <c r="A53" s="3">
        <v>4</v>
      </c>
      <c r="B53" s="38">
        <v>46120</v>
      </c>
      <c r="C53" s="3"/>
      <c r="D53" s="3"/>
      <c r="E53" s="3"/>
      <c r="F53" s="3"/>
    </row>
    <row r="54" spans="1:6" x14ac:dyDescent="0.25">
      <c r="A54" s="1"/>
      <c r="B54" s="1"/>
      <c r="C54" s="1"/>
      <c r="D54" s="1"/>
      <c r="E54" s="1"/>
      <c r="F54" s="1"/>
    </row>
    <row r="55" spans="1:6" x14ac:dyDescent="0.25">
      <c r="A55" s="1"/>
      <c r="B55" s="1"/>
      <c r="C55" s="1"/>
      <c r="D55" s="1"/>
      <c r="E55" s="1"/>
      <c r="F55" s="1"/>
    </row>
    <row r="56" spans="1:6" x14ac:dyDescent="0.25">
      <c r="A56" s="1"/>
      <c r="B56" s="1"/>
      <c r="C56" s="1"/>
      <c r="D56" s="1"/>
      <c r="E56" s="1"/>
      <c r="F56" s="1"/>
    </row>
    <row r="59" spans="1:6" ht="21.75" thickBot="1" x14ac:dyDescent="0.4">
      <c r="A59" s="7" t="s">
        <v>11</v>
      </c>
      <c r="B59" s="8">
        <v>7</v>
      </c>
      <c r="C59" s="7" t="s">
        <v>12</v>
      </c>
      <c r="D59" s="8"/>
      <c r="E59" s="9"/>
      <c r="F59" s="10"/>
    </row>
    <row r="60" spans="1:6" ht="16.5" thickBot="1" x14ac:dyDescent="0.3">
      <c r="A60" s="4" t="s">
        <v>1</v>
      </c>
      <c r="B60" s="5" t="s">
        <v>2</v>
      </c>
      <c r="C60" s="5" t="s">
        <v>10</v>
      </c>
      <c r="D60" s="5" t="s">
        <v>4</v>
      </c>
      <c r="E60" s="5" t="s">
        <v>5</v>
      </c>
      <c r="F60" s="6" t="s">
        <v>9</v>
      </c>
    </row>
    <row r="61" spans="1:6" x14ac:dyDescent="0.25">
      <c r="A61" s="3"/>
      <c r="B61" s="3"/>
      <c r="C61" s="3"/>
      <c r="D61" s="3"/>
      <c r="E61" s="3"/>
      <c r="F61" s="3"/>
    </row>
    <row r="62" spans="1:6" x14ac:dyDescent="0.25">
      <c r="A62" s="1"/>
      <c r="B62" s="1"/>
      <c r="C62" s="1"/>
      <c r="D62" s="1"/>
      <c r="E62" s="1"/>
      <c r="F62" s="1"/>
    </row>
    <row r="63" spans="1:6" x14ac:dyDescent="0.25">
      <c r="A63" s="1"/>
      <c r="B63" s="1"/>
      <c r="C63" s="1"/>
      <c r="D63" s="1"/>
      <c r="E63" s="1"/>
      <c r="F63" s="1"/>
    </row>
    <row r="64" spans="1:6" x14ac:dyDescent="0.25">
      <c r="A64" s="1"/>
      <c r="B64" s="1"/>
      <c r="C64" s="1"/>
      <c r="D64" s="1"/>
      <c r="E64" s="1"/>
      <c r="F64" s="1"/>
    </row>
    <row r="67" spans="1:7" ht="21.75" thickBot="1" x14ac:dyDescent="0.4">
      <c r="A67" s="7" t="s">
        <v>11</v>
      </c>
      <c r="B67" s="8">
        <v>8</v>
      </c>
      <c r="C67" s="7" t="s">
        <v>12</v>
      </c>
      <c r="D67" s="8" t="s">
        <v>47</v>
      </c>
      <c r="E67" s="9"/>
      <c r="F67" s="10"/>
    </row>
    <row r="68" spans="1:7" ht="16.5" thickBot="1" x14ac:dyDescent="0.3">
      <c r="A68" s="4" t="s">
        <v>1</v>
      </c>
      <c r="B68" s="5" t="s">
        <v>2</v>
      </c>
      <c r="C68" s="5" t="s">
        <v>10</v>
      </c>
      <c r="D68" s="5" t="s">
        <v>4</v>
      </c>
      <c r="E68" s="5" t="s">
        <v>5</v>
      </c>
      <c r="F68" s="6" t="s">
        <v>9</v>
      </c>
    </row>
    <row r="69" spans="1:7" x14ac:dyDescent="0.25">
      <c r="A69" s="3"/>
      <c r="B69" s="3"/>
      <c r="C69" s="3" t="s">
        <v>113</v>
      </c>
      <c r="D69" s="40">
        <f>'LIBRO DIARIO'!I26</f>
        <v>22727272.727272727</v>
      </c>
      <c r="E69" s="3">
        <v>0</v>
      </c>
      <c r="F69" s="40">
        <f>D69+E69</f>
        <v>22727272.727272727</v>
      </c>
      <c r="G69" t="s">
        <v>18</v>
      </c>
    </row>
    <row r="70" spans="1:7" x14ac:dyDescent="0.25">
      <c r="A70" s="1"/>
      <c r="B70" s="1"/>
      <c r="C70" s="1"/>
      <c r="D70" s="1"/>
      <c r="E70" s="1"/>
      <c r="F70" s="1"/>
    </row>
    <row r="71" spans="1:7" x14ac:dyDescent="0.25">
      <c r="A71" s="1"/>
      <c r="B71" s="1"/>
      <c r="C71" s="1"/>
      <c r="D71" s="1"/>
      <c r="E71" s="1"/>
      <c r="F71" s="1"/>
    </row>
    <row r="72" spans="1:7" x14ac:dyDescent="0.25">
      <c r="A72" s="1"/>
      <c r="B72" s="1"/>
      <c r="C72" s="1"/>
      <c r="D72" s="1"/>
      <c r="E72" s="1"/>
      <c r="F72" s="1"/>
    </row>
    <row r="75" spans="1:7" ht="21.75" thickBot="1" x14ac:dyDescent="0.4">
      <c r="A75" s="7" t="s">
        <v>11</v>
      </c>
      <c r="B75" s="8">
        <v>9</v>
      </c>
      <c r="C75" s="7" t="s">
        <v>12</v>
      </c>
      <c r="D75" s="8"/>
      <c r="E75" s="9"/>
      <c r="F75" s="10"/>
    </row>
    <row r="76" spans="1:7" ht="16.5" thickBot="1" x14ac:dyDescent="0.3">
      <c r="A76" s="4" t="s">
        <v>1</v>
      </c>
      <c r="B76" s="5" t="s">
        <v>2</v>
      </c>
      <c r="C76" s="5" t="s">
        <v>10</v>
      </c>
      <c r="D76" s="5" t="s">
        <v>4</v>
      </c>
      <c r="E76" s="5" t="s">
        <v>5</v>
      </c>
      <c r="F76" s="6" t="s">
        <v>9</v>
      </c>
    </row>
    <row r="77" spans="1:7" x14ac:dyDescent="0.25">
      <c r="A77" s="3"/>
      <c r="B77" s="3"/>
      <c r="C77" s="3"/>
      <c r="D77" s="3"/>
      <c r="E77" s="3"/>
      <c r="F77" s="3"/>
    </row>
    <row r="78" spans="1:7" x14ac:dyDescent="0.25">
      <c r="A78" s="1"/>
      <c r="B78" s="1"/>
      <c r="C78" s="1"/>
      <c r="D78" s="1"/>
      <c r="E78" s="1"/>
      <c r="F78" s="1"/>
    </row>
    <row r="79" spans="1:7" x14ac:dyDescent="0.25">
      <c r="A79" s="1"/>
      <c r="B79" s="1"/>
      <c r="C79" s="1"/>
      <c r="D79" s="1"/>
      <c r="E79" s="1"/>
      <c r="F79" s="1"/>
    </row>
    <row r="80" spans="1:7" x14ac:dyDescent="0.25">
      <c r="A80" s="1"/>
      <c r="B80" s="1"/>
      <c r="C80" s="1"/>
      <c r="D80" s="1"/>
      <c r="E80" s="1"/>
      <c r="F80" s="1"/>
    </row>
    <row r="83" spans="1:6" ht="21.75" thickBot="1" x14ac:dyDescent="0.4">
      <c r="A83" s="7" t="s">
        <v>11</v>
      </c>
      <c r="B83" s="8">
        <v>10</v>
      </c>
      <c r="C83" s="7" t="s">
        <v>12</v>
      </c>
      <c r="D83" s="8"/>
      <c r="E83" s="9"/>
      <c r="F83" s="10"/>
    </row>
    <row r="84" spans="1:6" ht="16.5" thickBot="1" x14ac:dyDescent="0.3">
      <c r="A84" s="4" t="s">
        <v>1</v>
      </c>
      <c r="B84" s="5" t="s">
        <v>2</v>
      </c>
      <c r="C84" s="5" t="s">
        <v>10</v>
      </c>
      <c r="D84" s="5" t="s">
        <v>4</v>
      </c>
      <c r="E84" s="5" t="s">
        <v>5</v>
      </c>
      <c r="F84" s="6" t="s">
        <v>9</v>
      </c>
    </row>
    <row r="85" spans="1:6" x14ac:dyDescent="0.25">
      <c r="A85" s="3"/>
      <c r="B85" s="3"/>
      <c r="C85" s="3"/>
      <c r="D85" s="3"/>
      <c r="E85" s="3"/>
      <c r="F85" s="3"/>
    </row>
    <row r="86" spans="1:6" x14ac:dyDescent="0.25">
      <c r="A86" s="1"/>
      <c r="B86" s="1"/>
      <c r="C86" s="1"/>
      <c r="D86" s="1"/>
      <c r="E86" s="1"/>
      <c r="F86" s="1"/>
    </row>
    <row r="87" spans="1:6" x14ac:dyDescent="0.25">
      <c r="A87" s="1"/>
      <c r="B87" s="1"/>
      <c r="C87" s="1"/>
      <c r="D87" s="1"/>
      <c r="E87" s="1"/>
      <c r="F87" s="1"/>
    </row>
    <row r="88" spans="1:6" x14ac:dyDescent="0.25">
      <c r="A88" s="1"/>
      <c r="B88" s="1"/>
      <c r="C88" s="1"/>
      <c r="D88" s="1"/>
      <c r="E88" s="1"/>
      <c r="F88" s="1"/>
    </row>
    <row r="91" spans="1:6" ht="21.75" thickBot="1" x14ac:dyDescent="0.4">
      <c r="A91" s="7" t="s">
        <v>11</v>
      </c>
      <c r="B91" s="8">
        <v>7</v>
      </c>
      <c r="C91" s="7" t="s">
        <v>12</v>
      </c>
      <c r="D91" s="8"/>
      <c r="E91" s="9"/>
      <c r="F91" s="10"/>
    </row>
    <row r="92" spans="1:6" ht="16.5" thickBot="1" x14ac:dyDescent="0.3">
      <c r="A92" s="4" t="s">
        <v>1</v>
      </c>
      <c r="B92" s="5" t="s">
        <v>2</v>
      </c>
      <c r="C92" s="5" t="s">
        <v>10</v>
      </c>
      <c r="D92" s="5" t="s">
        <v>4</v>
      </c>
      <c r="E92" s="5" t="s">
        <v>5</v>
      </c>
      <c r="F92" s="6" t="s">
        <v>9</v>
      </c>
    </row>
    <row r="93" spans="1:6" x14ac:dyDescent="0.25">
      <c r="A93" s="3"/>
      <c r="B93" s="3"/>
      <c r="C93" s="3"/>
      <c r="D93" s="3"/>
      <c r="E93" s="3"/>
      <c r="F93" s="3"/>
    </row>
    <row r="94" spans="1:6" x14ac:dyDescent="0.25">
      <c r="A94" s="1"/>
      <c r="B94" s="1"/>
      <c r="C94" s="1"/>
      <c r="D94" s="1"/>
      <c r="E94" s="1"/>
      <c r="F94" s="1"/>
    </row>
    <row r="95" spans="1:6" x14ac:dyDescent="0.25">
      <c r="A95" s="1"/>
      <c r="B95" s="1"/>
      <c r="C95" s="1"/>
      <c r="D95" s="1"/>
      <c r="E95" s="1"/>
      <c r="F95" s="1"/>
    </row>
    <row r="96" spans="1:6" x14ac:dyDescent="0.25">
      <c r="A96" s="1"/>
      <c r="B96" s="1"/>
      <c r="C96" s="1"/>
      <c r="D96" s="1"/>
      <c r="E96" s="1"/>
      <c r="F96" s="1"/>
    </row>
    <row r="99" spans="1:6" ht="21.75" thickBot="1" x14ac:dyDescent="0.4">
      <c r="A99" s="7" t="s">
        <v>11</v>
      </c>
      <c r="B99" s="8">
        <v>7</v>
      </c>
      <c r="C99" s="7" t="s">
        <v>12</v>
      </c>
      <c r="D99" s="8"/>
      <c r="E99" s="9"/>
      <c r="F99" s="10"/>
    </row>
    <row r="100" spans="1:6" ht="16.5" thickBot="1" x14ac:dyDescent="0.3">
      <c r="A100" s="4" t="s">
        <v>1</v>
      </c>
      <c r="B100" s="5" t="s">
        <v>2</v>
      </c>
      <c r="C100" s="5" t="s">
        <v>10</v>
      </c>
      <c r="D100" s="5" t="s">
        <v>4</v>
      </c>
      <c r="E100" s="5" t="s">
        <v>5</v>
      </c>
      <c r="F100" s="6" t="s">
        <v>9</v>
      </c>
    </row>
    <row r="101" spans="1:6" x14ac:dyDescent="0.25">
      <c r="A101" s="3"/>
      <c r="B101" s="3"/>
      <c r="C101" s="3"/>
      <c r="D101" s="3"/>
      <c r="E101" s="3"/>
      <c r="F101" s="3"/>
    </row>
    <row r="102" spans="1:6" x14ac:dyDescent="0.25">
      <c r="A102" s="1"/>
      <c r="B102" s="1"/>
      <c r="C102" s="1"/>
      <c r="D102" s="1"/>
      <c r="E102" s="1"/>
      <c r="F102" s="1"/>
    </row>
    <row r="103" spans="1:6" x14ac:dyDescent="0.25">
      <c r="A103" s="1"/>
      <c r="B103" s="1"/>
      <c r="C103" s="1"/>
      <c r="D103" s="1"/>
      <c r="E103" s="1"/>
      <c r="F103" s="1"/>
    </row>
    <row r="104" spans="1:6" x14ac:dyDescent="0.25">
      <c r="A104" s="1"/>
      <c r="B104" s="1"/>
      <c r="C104" s="1"/>
      <c r="D104" s="1"/>
      <c r="E104" s="1"/>
      <c r="F104" s="1"/>
    </row>
  </sheetData>
  <mergeCells count="1">
    <mergeCell ref="A1:E1"/>
  </mergeCells>
  <pageMargins left="0.7" right="0.7" top="0.75" bottom="0.75" header="0.3" footer="0.3"/>
  <pageSetup paperSize="17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"/>
  <sheetViews>
    <sheetView topLeftCell="B11" workbookViewId="0">
      <selection activeCell="B15" sqref="B15"/>
    </sheetView>
  </sheetViews>
  <sheetFormatPr baseColWidth="10" defaultRowHeight="15.75" x14ac:dyDescent="0.25"/>
  <cols>
    <col min="2" max="2" width="26.33203125" customWidth="1"/>
    <col min="7" max="7" width="13.44140625" customWidth="1"/>
    <col min="8" max="8" width="13.77734375" customWidth="1"/>
    <col min="9" max="9" width="14.88671875" bestFit="1" customWidth="1"/>
    <col min="10" max="10" width="15.6640625" customWidth="1"/>
  </cols>
  <sheetData>
    <row r="1" spans="1:12" ht="21" x14ac:dyDescent="0.35">
      <c r="A1" s="11" t="s">
        <v>13</v>
      </c>
      <c r="B1" s="11"/>
      <c r="C1" s="11"/>
      <c r="D1" s="11"/>
      <c r="E1" s="11"/>
      <c r="F1" s="12"/>
      <c r="G1" s="12"/>
      <c r="H1" s="12"/>
      <c r="I1" s="12"/>
      <c r="J1" s="12"/>
      <c r="K1" s="12"/>
      <c r="L1" s="12"/>
    </row>
    <row r="2" spans="1:12" ht="16.5" thickBot="1" x14ac:dyDescent="0.3"/>
    <row r="3" spans="1:12" ht="16.5" thickBot="1" x14ac:dyDescent="0.3">
      <c r="A3" s="53" t="s">
        <v>14</v>
      </c>
      <c r="B3" s="53" t="s">
        <v>15</v>
      </c>
      <c r="C3" s="55" t="s">
        <v>16</v>
      </c>
      <c r="D3" s="56"/>
      <c r="E3" s="57" t="s">
        <v>17</v>
      </c>
      <c r="F3" s="58"/>
      <c r="G3" s="51" t="s">
        <v>20</v>
      </c>
      <c r="H3" s="52"/>
      <c r="I3" s="51" t="s">
        <v>21</v>
      </c>
      <c r="J3" s="52"/>
    </row>
    <row r="4" spans="1:12" ht="16.5" thickBot="1" x14ac:dyDescent="0.3">
      <c r="A4" s="54"/>
      <c r="B4" s="54"/>
      <c r="C4" s="13" t="s">
        <v>4</v>
      </c>
      <c r="D4" s="14" t="s">
        <v>5</v>
      </c>
      <c r="E4" s="13" t="s">
        <v>18</v>
      </c>
      <c r="F4" s="14" t="s">
        <v>19</v>
      </c>
      <c r="G4" s="41" t="s">
        <v>22</v>
      </c>
      <c r="H4" s="41" t="s">
        <v>23</v>
      </c>
      <c r="I4" s="42" t="s">
        <v>24</v>
      </c>
      <c r="J4" s="41" t="s">
        <v>25</v>
      </c>
    </row>
    <row r="5" spans="1:12" x14ac:dyDescent="0.25">
      <c r="A5" s="3">
        <v>1</v>
      </c>
      <c r="B5" s="3" t="s">
        <v>34</v>
      </c>
      <c r="C5" s="15">
        <v>53100000</v>
      </c>
      <c r="D5" s="15">
        <v>4185000</v>
      </c>
      <c r="E5" s="15">
        <v>48915000</v>
      </c>
      <c r="F5" s="15">
        <v>0</v>
      </c>
      <c r="G5" s="15">
        <f>E5</f>
        <v>48915000</v>
      </c>
      <c r="H5" s="15">
        <v>0</v>
      </c>
      <c r="I5" s="15">
        <v>0</v>
      </c>
      <c r="J5" s="15">
        <v>0</v>
      </c>
    </row>
    <row r="6" spans="1:12" x14ac:dyDescent="0.25">
      <c r="A6" s="1">
        <v>2</v>
      </c>
      <c r="B6" s="1" t="s">
        <v>33</v>
      </c>
      <c r="C6" s="16">
        <v>0</v>
      </c>
      <c r="D6" s="16">
        <v>50000000</v>
      </c>
      <c r="E6" s="16">
        <v>0</v>
      </c>
      <c r="F6" s="16">
        <v>50000000</v>
      </c>
      <c r="G6" s="16">
        <v>0</v>
      </c>
      <c r="H6" s="16">
        <v>50000000</v>
      </c>
      <c r="I6" s="16">
        <v>0</v>
      </c>
      <c r="J6" s="15">
        <v>0</v>
      </c>
    </row>
    <row r="7" spans="1:12" x14ac:dyDescent="0.25">
      <c r="A7" s="1">
        <v>3</v>
      </c>
      <c r="B7" s="1" t="s">
        <v>108</v>
      </c>
      <c r="C7" s="16">
        <v>1000000</v>
      </c>
      <c r="D7" s="16">
        <v>0</v>
      </c>
      <c r="E7" s="16">
        <v>1000000</v>
      </c>
      <c r="F7" s="16">
        <v>0</v>
      </c>
      <c r="G7" s="16">
        <f>E7</f>
        <v>1000000</v>
      </c>
      <c r="H7" s="16">
        <v>0</v>
      </c>
      <c r="I7" s="16">
        <v>0</v>
      </c>
      <c r="J7" s="15">
        <v>0</v>
      </c>
    </row>
    <row r="8" spans="1:12" x14ac:dyDescent="0.25">
      <c r="A8" s="1">
        <v>4</v>
      </c>
      <c r="B8" s="1" t="s">
        <v>39</v>
      </c>
      <c r="C8" s="16">
        <v>750000</v>
      </c>
      <c r="D8" s="16">
        <v>0</v>
      </c>
      <c r="E8" s="16">
        <v>750000</v>
      </c>
      <c r="F8" s="16">
        <v>0</v>
      </c>
      <c r="G8" s="16">
        <v>750000</v>
      </c>
      <c r="H8" s="16">
        <v>0</v>
      </c>
      <c r="I8" s="16">
        <v>0</v>
      </c>
      <c r="J8" s="15">
        <v>0</v>
      </c>
    </row>
    <row r="9" spans="1:12" x14ac:dyDescent="0.25">
      <c r="A9" s="1">
        <v>5</v>
      </c>
      <c r="B9" s="1" t="s">
        <v>40</v>
      </c>
      <c r="C9" s="16">
        <v>5304091</v>
      </c>
      <c r="D9" s="16">
        <v>0</v>
      </c>
      <c r="E9" s="16">
        <f>C9</f>
        <v>5304091</v>
      </c>
      <c r="F9" s="16">
        <v>0</v>
      </c>
      <c r="G9" s="16">
        <f>E9</f>
        <v>5304091</v>
      </c>
      <c r="H9" s="16">
        <v>0</v>
      </c>
      <c r="I9" s="16">
        <v>0</v>
      </c>
      <c r="J9" s="15">
        <v>0</v>
      </c>
    </row>
    <row r="10" spans="1:12" x14ac:dyDescent="0.25">
      <c r="A10" s="1">
        <v>6</v>
      </c>
      <c r="B10" s="1" t="s">
        <v>41</v>
      </c>
      <c r="C10" s="16">
        <v>0</v>
      </c>
      <c r="D10" s="16">
        <v>9785000</v>
      </c>
      <c r="E10" s="16">
        <v>0</v>
      </c>
      <c r="F10" s="16">
        <v>9785000</v>
      </c>
      <c r="G10" s="16">
        <v>0</v>
      </c>
      <c r="H10" s="16">
        <v>9785000</v>
      </c>
      <c r="I10" s="16">
        <v>0</v>
      </c>
      <c r="J10" s="15">
        <v>0</v>
      </c>
    </row>
    <row r="11" spans="1:12" x14ac:dyDescent="0.25">
      <c r="A11" s="1">
        <v>7</v>
      </c>
      <c r="B11" s="1" t="s">
        <v>44</v>
      </c>
      <c r="C11" s="16">
        <v>8145455</v>
      </c>
      <c r="D11" s="16">
        <v>0</v>
      </c>
      <c r="E11" s="16">
        <f>C11</f>
        <v>8145455</v>
      </c>
      <c r="F11" s="16">
        <v>0</v>
      </c>
      <c r="G11" s="16">
        <f>E11</f>
        <v>8145455</v>
      </c>
      <c r="H11" s="16">
        <v>0</v>
      </c>
      <c r="I11" s="16">
        <v>0</v>
      </c>
      <c r="J11" s="15">
        <v>0</v>
      </c>
    </row>
    <row r="12" spans="1:12" x14ac:dyDescent="0.25">
      <c r="A12" s="1">
        <v>8</v>
      </c>
      <c r="B12" s="1" t="s">
        <v>47</v>
      </c>
      <c r="C12" s="16">
        <v>22727273</v>
      </c>
      <c r="D12" s="16">
        <v>0</v>
      </c>
      <c r="E12" s="16">
        <f>C12</f>
        <v>22727273</v>
      </c>
      <c r="F12" s="16">
        <v>0</v>
      </c>
      <c r="G12" s="16">
        <f>E12</f>
        <v>22727273</v>
      </c>
      <c r="H12" s="16">
        <v>0</v>
      </c>
      <c r="I12" s="16">
        <v>0</v>
      </c>
      <c r="J12" s="15">
        <v>0</v>
      </c>
    </row>
    <row r="13" spans="1:12" x14ac:dyDescent="0.25">
      <c r="A13" s="1">
        <v>9</v>
      </c>
      <c r="B13" s="1" t="s">
        <v>48</v>
      </c>
      <c r="C13" s="16">
        <v>0</v>
      </c>
      <c r="D13" s="16">
        <v>36780000</v>
      </c>
      <c r="E13" s="16">
        <v>0</v>
      </c>
      <c r="F13" s="16">
        <f>D13</f>
        <v>36780000</v>
      </c>
      <c r="G13" s="16">
        <v>0</v>
      </c>
      <c r="H13" s="16">
        <f>F13</f>
        <v>36780000</v>
      </c>
      <c r="I13" s="16">
        <v>0</v>
      </c>
      <c r="J13" s="15">
        <v>0</v>
      </c>
    </row>
    <row r="14" spans="1:12" x14ac:dyDescent="0.25">
      <c r="A14" s="1">
        <v>10</v>
      </c>
      <c r="B14" s="1" t="s">
        <v>51</v>
      </c>
      <c r="C14" s="16">
        <v>21418182</v>
      </c>
      <c r="D14" s="16">
        <v>2141818</v>
      </c>
      <c r="E14" s="16">
        <f>C14-D14</f>
        <v>19276364</v>
      </c>
      <c r="F14" s="16">
        <v>0</v>
      </c>
      <c r="G14" s="16">
        <f>E14</f>
        <v>19276364</v>
      </c>
      <c r="H14" s="16">
        <v>0</v>
      </c>
      <c r="I14" s="16">
        <v>0</v>
      </c>
      <c r="J14" s="15">
        <v>0</v>
      </c>
    </row>
    <row r="15" spans="1:12" x14ac:dyDescent="0.25">
      <c r="A15" s="1">
        <v>11</v>
      </c>
      <c r="B15" s="1" t="s">
        <v>52</v>
      </c>
      <c r="C15" s="16">
        <v>0</v>
      </c>
      <c r="D15" s="16">
        <v>11780000</v>
      </c>
      <c r="E15" s="16">
        <v>0</v>
      </c>
      <c r="F15" s="16">
        <f>D15</f>
        <v>11780000</v>
      </c>
      <c r="G15" s="16">
        <v>0</v>
      </c>
      <c r="H15" s="16">
        <f>D15</f>
        <v>11780000</v>
      </c>
      <c r="I15" s="16">
        <v>0</v>
      </c>
      <c r="J15" s="15">
        <v>0</v>
      </c>
    </row>
    <row r="16" spans="1:12" x14ac:dyDescent="0.25">
      <c r="A16" s="1">
        <v>12</v>
      </c>
      <c r="B16" s="1" t="s">
        <v>64</v>
      </c>
      <c r="C16" s="16">
        <v>0</v>
      </c>
      <c r="D16" s="16">
        <v>2818182</v>
      </c>
      <c r="E16" s="16">
        <v>0</v>
      </c>
      <c r="F16" s="16">
        <f>D16</f>
        <v>2818182</v>
      </c>
      <c r="G16" s="16">
        <v>0</v>
      </c>
      <c r="H16" s="16">
        <v>0</v>
      </c>
      <c r="I16" s="16">
        <v>0</v>
      </c>
      <c r="J16" s="15">
        <f>F16</f>
        <v>2818182</v>
      </c>
    </row>
    <row r="17" spans="1:11" x14ac:dyDescent="0.25">
      <c r="A17" s="1">
        <v>13</v>
      </c>
      <c r="B17" s="1" t="s">
        <v>65</v>
      </c>
      <c r="C17" s="16">
        <v>0</v>
      </c>
      <c r="D17" s="16">
        <v>281018</v>
      </c>
      <c r="E17" s="16">
        <v>0</v>
      </c>
      <c r="F17" s="16">
        <v>281818</v>
      </c>
      <c r="G17" s="16">
        <v>0</v>
      </c>
      <c r="H17" s="16">
        <f>F17</f>
        <v>281818</v>
      </c>
      <c r="I17" s="16">
        <v>0</v>
      </c>
      <c r="J17" s="15">
        <v>0</v>
      </c>
    </row>
    <row r="18" spans="1:11" x14ac:dyDescent="0.25">
      <c r="A18" s="1">
        <v>14</v>
      </c>
      <c r="B18" s="1" t="s">
        <v>74</v>
      </c>
      <c r="C18" s="16">
        <v>2141818</v>
      </c>
      <c r="D18" s="16">
        <v>0</v>
      </c>
      <c r="E18" s="16">
        <f>C18</f>
        <v>2141818</v>
      </c>
      <c r="F18" s="16">
        <v>0</v>
      </c>
      <c r="G18" s="16">
        <v>0</v>
      </c>
      <c r="H18" s="16">
        <v>0</v>
      </c>
      <c r="I18" s="16">
        <f>E18</f>
        <v>2141818</v>
      </c>
      <c r="J18" s="15">
        <v>0</v>
      </c>
    </row>
    <row r="19" spans="1:11" x14ac:dyDescent="0.25">
      <c r="A19" s="1">
        <v>15</v>
      </c>
      <c r="B19" s="1" t="s">
        <v>98</v>
      </c>
      <c r="C19" s="16">
        <v>3500000</v>
      </c>
      <c r="D19" s="16">
        <v>0</v>
      </c>
      <c r="E19" s="16">
        <f>C19</f>
        <v>3500000</v>
      </c>
      <c r="F19" s="16">
        <v>0</v>
      </c>
      <c r="G19" s="16">
        <v>0</v>
      </c>
      <c r="H19" s="16">
        <v>0</v>
      </c>
      <c r="I19" s="16">
        <f>E19</f>
        <v>3500000</v>
      </c>
      <c r="J19" s="15">
        <v>0</v>
      </c>
    </row>
    <row r="20" spans="1:11" x14ac:dyDescent="0.25">
      <c r="A20" s="1">
        <v>16</v>
      </c>
      <c r="B20" s="1" t="s">
        <v>95</v>
      </c>
      <c r="C20" s="16">
        <v>577500</v>
      </c>
      <c r="D20" s="16">
        <v>0</v>
      </c>
      <c r="E20" s="16">
        <v>577500</v>
      </c>
      <c r="F20" s="16">
        <v>0</v>
      </c>
      <c r="G20" s="16">
        <v>0</v>
      </c>
      <c r="H20" s="16">
        <v>0</v>
      </c>
      <c r="I20" s="16">
        <v>577500</v>
      </c>
      <c r="J20" s="15">
        <v>0</v>
      </c>
    </row>
    <row r="21" spans="1:11" x14ac:dyDescent="0.25">
      <c r="A21" s="1">
        <v>17</v>
      </c>
      <c r="B21" s="1" t="s">
        <v>99</v>
      </c>
      <c r="C21" s="16">
        <v>0</v>
      </c>
      <c r="D21" s="16">
        <v>892500</v>
      </c>
      <c r="E21" s="16">
        <v>0</v>
      </c>
      <c r="F21" s="16">
        <v>892500</v>
      </c>
      <c r="G21" s="16">
        <v>0</v>
      </c>
      <c r="H21" s="16">
        <v>892500</v>
      </c>
      <c r="I21" s="16">
        <v>0</v>
      </c>
      <c r="J21" s="15">
        <v>0</v>
      </c>
    </row>
    <row r="22" spans="1:11" x14ac:dyDescent="0.25">
      <c r="A22" s="1"/>
      <c r="B22" s="17" t="s">
        <v>26</v>
      </c>
      <c r="C22" s="62">
        <f>SUM(C5:C21)</f>
        <v>118664319</v>
      </c>
      <c r="D22" s="62">
        <f>SUM(D5:D21)</f>
        <v>118663518</v>
      </c>
      <c r="E22" s="61">
        <f>SUM(E5:E21)</f>
        <v>112337501</v>
      </c>
      <c r="F22" s="61">
        <f>SUM(F5:F21)</f>
        <v>112337500</v>
      </c>
      <c r="G22" s="60">
        <f>SUM(G5:G21)</f>
        <v>106118183</v>
      </c>
      <c r="H22" s="60">
        <f>SUM(H5:H21)</f>
        <v>109519318</v>
      </c>
      <c r="I22" s="60">
        <f>SUM(I5:I21)</f>
        <v>6219318</v>
      </c>
      <c r="J22" s="60">
        <f>SUM(J5:J21)</f>
        <v>2818182</v>
      </c>
      <c r="K22" t="s">
        <v>115</v>
      </c>
    </row>
    <row r="23" spans="1:11" x14ac:dyDescent="0.25">
      <c r="A23" s="1"/>
      <c r="B23" s="1" t="s">
        <v>27</v>
      </c>
      <c r="C23" s="1"/>
      <c r="D23" s="1"/>
      <c r="E23" s="1"/>
      <c r="F23" s="1"/>
      <c r="G23" s="59">
        <f>H22-G22</f>
        <v>3401135</v>
      </c>
      <c r="H23" s="59">
        <v>0</v>
      </c>
      <c r="I23" s="59">
        <v>0</v>
      </c>
      <c r="J23" s="59">
        <f>I22-J22</f>
        <v>3401136</v>
      </c>
      <c r="K23" t="s">
        <v>116</v>
      </c>
    </row>
    <row r="24" spans="1:11" x14ac:dyDescent="0.25">
      <c r="A24" s="1"/>
      <c r="B24" s="17" t="s">
        <v>28</v>
      </c>
      <c r="C24" s="59">
        <f>SUM(C22:C23)</f>
        <v>118664319</v>
      </c>
      <c r="D24" s="59">
        <f>SUM(D22:D23)</f>
        <v>118663518</v>
      </c>
      <c r="E24" s="59">
        <f>SUM(E22:E23)</f>
        <v>112337501</v>
      </c>
      <c r="F24" s="59">
        <f>SUM(F22:F23)</f>
        <v>112337500</v>
      </c>
      <c r="G24" s="59">
        <f>SUM(G22:G23)</f>
        <v>109519318</v>
      </c>
      <c r="H24" s="59">
        <f t="shared" ref="H24:J24" si="0">SUM(H22:H23)</f>
        <v>109519318</v>
      </c>
      <c r="I24" s="59">
        <f t="shared" si="0"/>
        <v>6219318</v>
      </c>
      <c r="J24" s="59">
        <f t="shared" si="0"/>
        <v>6219318</v>
      </c>
    </row>
    <row r="26" spans="1:11" x14ac:dyDescent="0.25">
      <c r="C26" t="s">
        <v>32</v>
      </c>
      <c r="D26" s="63">
        <f>H22-D27</f>
        <v>59519318</v>
      </c>
    </row>
    <row r="27" spans="1:11" x14ac:dyDescent="0.25">
      <c r="C27" t="s">
        <v>117</v>
      </c>
      <c r="D27" s="63">
        <f>D6</f>
        <v>50000000</v>
      </c>
    </row>
  </sheetData>
  <mergeCells count="6">
    <mergeCell ref="G3:H3"/>
    <mergeCell ref="I3:J3"/>
    <mergeCell ref="A3:A4"/>
    <mergeCell ref="B3:B4"/>
    <mergeCell ref="C3:D3"/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LIBRO DIARIO</vt:lpstr>
      <vt:lpstr>LIBRO MAYOR</vt:lpstr>
      <vt:lpstr>BG _ER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FPUNA</dc:creator>
  <cp:lastModifiedBy>fpuna</cp:lastModifiedBy>
  <dcterms:created xsi:type="dcterms:W3CDTF">2025-04-15T12:33:19Z</dcterms:created>
  <dcterms:modified xsi:type="dcterms:W3CDTF">2026-04-29T15:15:15Z</dcterms:modified>
</cp:coreProperties>
</file>