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36FEDF3E-4E69-4FD0-B9B0-2ABCBF8F4161}" xr6:coauthVersionLast="47" xr6:coauthVersionMax="47" xr10:uidLastSave="{00000000-0000-0000-0000-000000000000}"/>
  <bookViews>
    <workbookView xWindow="0" yWindow="0" windowWidth="15516" windowHeight="12360" xr2:uid="{00000000-000D-0000-FFFF-FFFF00000000}"/>
  </bookViews>
  <sheets>
    <sheet name="LIBRO DIARIO" sheetId="1" r:id="rId1"/>
    <sheet name="LIBRO MAYOR" sheetId="2" r:id="rId2"/>
    <sheet name="BG _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0" i="1" l="1"/>
  <c r="C111" i="1" s="1"/>
  <c r="E111" i="1" s="1"/>
  <c r="C104" i="1"/>
  <c r="E104" i="1" s="1"/>
  <c r="E99" i="1"/>
  <c r="E98" i="1"/>
  <c r="C99" i="1"/>
  <c r="C98" i="1"/>
  <c r="E110" i="1" l="1"/>
  <c r="C105" i="1"/>
  <c r="E105" i="1" s="1"/>
  <c r="E92" i="1" l="1"/>
  <c r="C93" i="1"/>
  <c r="C92" i="1"/>
  <c r="E87" i="1"/>
  <c r="E85" i="1"/>
  <c r="C87" i="1"/>
  <c r="C86" i="1"/>
  <c r="C85" i="1"/>
  <c r="E80" i="1"/>
  <c r="C81" i="1"/>
  <c r="C80" i="1"/>
  <c r="E74" i="1"/>
  <c r="E67" i="1"/>
  <c r="C67" i="1"/>
  <c r="D63" i="1"/>
  <c r="D64" i="1"/>
  <c r="C64" i="1"/>
  <c r="C63" i="1"/>
  <c r="C60" i="1"/>
  <c r="E60" i="1"/>
  <c r="E59" i="1"/>
  <c r="E58" i="1"/>
  <c r="C58" i="1"/>
  <c r="D55" i="1"/>
  <c r="D54" i="1"/>
  <c r="E49" i="1"/>
  <c r="C51" i="1"/>
  <c r="C50" i="1"/>
  <c r="C49" i="1"/>
  <c r="D47" i="1"/>
  <c r="D46" i="1"/>
  <c r="D39" i="1"/>
  <c r="C39" i="1"/>
  <c r="B39" i="1"/>
  <c r="D31" i="1"/>
  <c r="C32" i="1"/>
  <c r="C40" i="1" s="1"/>
  <c r="D40" i="1" s="1"/>
  <c r="B32" i="1"/>
  <c r="B40" i="1" s="1"/>
  <c r="B31" i="1"/>
  <c r="C25" i="1"/>
  <c r="D22" i="1"/>
  <c r="C27" i="1" s="1"/>
  <c r="D21" i="1"/>
  <c r="C24" i="1"/>
  <c r="E16" i="1"/>
  <c r="C16" i="1"/>
  <c r="C17" i="1"/>
  <c r="E11" i="1"/>
  <c r="C9" i="1"/>
  <c r="E6" i="1"/>
  <c r="E7" i="1" s="1"/>
  <c r="C42" i="1" l="1"/>
  <c r="E42" i="1" s="1"/>
  <c r="D32" i="1"/>
  <c r="E35" i="1" s="1"/>
  <c r="C34" i="1"/>
  <c r="C26" i="1"/>
  <c r="C28" i="1" s="1"/>
  <c r="E24" i="1" s="1"/>
  <c r="E8" i="1"/>
  <c r="E9" i="1" s="1"/>
  <c r="E17" i="1"/>
  <c r="E18" i="1" s="1"/>
  <c r="C18" i="1"/>
  <c r="C36" i="1" l="1"/>
  <c r="E34" i="1"/>
  <c r="E36" i="1" s="1"/>
  <c r="C35" i="1"/>
</calcChain>
</file>

<file path=xl/sharedStrings.xml><?xml version="1.0" encoding="utf-8"?>
<sst xmlns="http://schemas.openxmlformats.org/spreadsheetml/2006/main" count="215" uniqueCount="61">
  <si>
    <t>LIBRO DIARIO</t>
  </si>
  <si>
    <t>NRO</t>
  </si>
  <si>
    <t>FECHA</t>
  </si>
  <si>
    <t>CUENTAS CONTABLES</t>
  </si>
  <si>
    <t>DEBE</t>
  </si>
  <si>
    <t>HABER</t>
  </si>
  <si>
    <t>Cálculo Auxiliar en Esquema T</t>
  </si>
  <si>
    <t>FORMATO DEL LIBRO DIARIO</t>
  </si>
  <si>
    <t>FORMATO DEL LIBRO MAYOR</t>
  </si>
  <si>
    <t>SALDO</t>
  </si>
  <si>
    <t>DESCRIPCIÓN</t>
  </si>
  <si>
    <t xml:space="preserve">FOLIO: </t>
  </si>
  <si>
    <t>CUENTA:</t>
  </si>
  <si>
    <t>BALANCE DE COMPROBACIÓN DE SUMAS Y SALDOS - BALANCE GENERAL &amp; ESTADO DE RESULTADOS</t>
  </si>
  <si>
    <t>Nro.</t>
  </si>
  <si>
    <t>CUENTA CONTABLE</t>
  </si>
  <si>
    <t>SUMAS</t>
  </si>
  <si>
    <t>SALDOS</t>
  </si>
  <si>
    <t>DEUDOR</t>
  </si>
  <si>
    <t>ACREEDOR</t>
  </si>
  <si>
    <t>BALANCE GENERAL</t>
  </si>
  <si>
    <t>ESTADO DE RESULTADOS</t>
  </si>
  <si>
    <t>ACTIVO</t>
  </si>
  <si>
    <t>PASIVO/PN</t>
  </si>
  <si>
    <t>RES. NEGATIVO</t>
  </si>
  <si>
    <t>RES. POSITIVO</t>
  </si>
  <si>
    <t>BG:Balance General</t>
  </si>
  <si>
    <t>ER:Estado de Resultado</t>
  </si>
  <si>
    <t>(+)A</t>
  </si>
  <si>
    <t>FONDO FIJO</t>
  </si>
  <si>
    <t>BANCO GNB CTA CTE</t>
  </si>
  <si>
    <t>BANCO ITAU PLAZO FIJO</t>
  </si>
  <si>
    <t>DOCUMENTOS A COBRAR</t>
  </si>
  <si>
    <t>PRESTAMOS BANCARIOS</t>
  </si>
  <si>
    <t>INTERES A PAGAR</t>
  </si>
  <si>
    <t>CAPITAL</t>
  </si>
  <si>
    <t>PASIVO</t>
  </si>
  <si>
    <t>MUEBLES Y UTILES</t>
  </si>
  <si>
    <t>ELEMENTOS DE TRANSPORTE</t>
  </si>
  <si>
    <t>DOCUMENTOS A PAGAR</t>
  </si>
  <si>
    <t>IVA CF 10%</t>
  </si>
  <si>
    <t>COMPRA</t>
  </si>
  <si>
    <t>PANEL BIFACIAL</t>
  </si>
  <si>
    <t>P.UNIT</t>
  </si>
  <si>
    <t>PANEL CON REFLECTOR</t>
  </si>
  <si>
    <t>MERCADERIAS</t>
  </si>
  <si>
    <t>P.TOTAL</t>
  </si>
  <si>
    <t>VENTA</t>
  </si>
  <si>
    <t>IVA DF 10%</t>
  </si>
  <si>
    <t>COSTO DE VENTA</t>
  </si>
  <si>
    <t>P.UNIT S/IVA</t>
  </si>
  <si>
    <t>P.TOTAL S/IVA</t>
  </si>
  <si>
    <t>COSTO DE VENTAS</t>
  </si>
  <si>
    <t>COSTO VENTAS</t>
  </si>
  <si>
    <t>TASAS, PATENTES E IMPUESTOS</t>
  </si>
  <si>
    <t>GASTOS DE LIMPIEZA</t>
  </si>
  <si>
    <t>AGUA, LUZ Y TELEFONO</t>
  </si>
  <si>
    <t>HONORARIOS PROFESIONALES</t>
  </si>
  <si>
    <t xml:space="preserve">SUELDOS Y JORNALES </t>
  </si>
  <si>
    <t>APORTE PATRONAL</t>
  </si>
  <si>
    <t>IPS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</si>
</sst>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12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b/>
      <i/>
      <sz val="16"/>
      <color theme="1"/>
      <name val="Aptos"/>
    </font>
    <font>
      <i/>
      <sz val="12"/>
      <color theme="1"/>
      <name val="Aptos"/>
    </font>
    <font>
      <b/>
      <sz val="12"/>
      <color theme="1"/>
      <name val="Aptos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i/>
      <sz val="11"/>
      <color theme="1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2" fillId="6" borderId="0" xfId="0" applyFont="1" applyFill="1" applyAlignment="1">
      <alignment horizontal="center"/>
    </xf>
    <xf numFmtId="0" fontId="0" fillId="0" borderId="10" xfId="0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/>
    <xf numFmtId="0" fontId="0" fillId="4" borderId="0" xfId="0" applyFill="1"/>
    <xf numFmtId="0" fontId="6" fillId="0" borderId="2" xfId="0" applyFont="1" applyBorder="1"/>
    <xf numFmtId="0" fontId="6" fillId="0" borderId="8" xfId="0" applyFont="1" applyBorder="1"/>
    <xf numFmtId="41" fontId="0" fillId="0" borderId="10" xfId="1" applyFont="1" applyBorder="1"/>
    <xf numFmtId="41" fontId="0" fillId="0" borderId="1" xfId="1" applyFont="1" applyBorder="1"/>
    <xf numFmtId="0" fontId="6" fillId="0" borderId="1" xfId="0" applyFont="1" applyBorder="1"/>
    <xf numFmtId="0" fontId="7" fillId="3" borderId="0" xfId="0" applyFont="1" applyFill="1"/>
    <xf numFmtId="42" fontId="8" fillId="3" borderId="0" xfId="2" applyFont="1" applyFill="1"/>
    <xf numFmtId="0" fontId="8" fillId="3" borderId="0" xfId="0" applyFont="1" applyFill="1"/>
    <xf numFmtId="0" fontId="8" fillId="0" borderId="0" xfId="0" applyFont="1"/>
    <xf numFmtId="42" fontId="8" fillId="0" borderId="0" xfId="2" applyFont="1"/>
    <xf numFmtId="0" fontId="7" fillId="0" borderId="1" xfId="0" applyFont="1" applyBorder="1"/>
    <xf numFmtId="42" fontId="7" fillId="0" borderId="1" xfId="2" applyFont="1" applyBorder="1"/>
    <xf numFmtId="0" fontId="8" fillId="0" borderId="5" xfId="0" applyFont="1" applyBorder="1"/>
    <xf numFmtId="0" fontId="8" fillId="0" borderId="1" xfId="0" applyFont="1" applyBorder="1"/>
    <xf numFmtId="14" fontId="8" fillId="0" borderId="1" xfId="0" applyNumberFormat="1" applyFont="1" applyBorder="1"/>
    <xf numFmtId="42" fontId="8" fillId="0" borderId="1" xfId="2" applyFont="1" applyBorder="1"/>
    <xf numFmtId="0" fontId="9" fillId="0" borderId="1" xfId="0" applyFont="1" applyBorder="1"/>
    <xf numFmtId="0" fontId="8" fillId="7" borderId="1" xfId="0" applyFont="1" applyFill="1" applyBorder="1"/>
    <xf numFmtId="0" fontId="9" fillId="7" borderId="1" xfId="0" applyFont="1" applyFill="1" applyBorder="1"/>
    <xf numFmtId="42" fontId="8" fillId="7" borderId="1" xfId="2" applyFont="1" applyFill="1" applyBorder="1"/>
    <xf numFmtId="42" fontId="7" fillId="0" borderId="0" xfId="2" applyFont="1"/>
    <xf numFmtId="9" fontId="8" fillId="0" borderId="0" xfId="2" applyNumberFormat="1" applyFont="1"/>
    <xf numFmtId="0" fontId="1" fillId="5" borderId="0" xfId="0" applyFont="1" applyFill="1"/>
    <xf numFmtId="14" fontId="0" fillId="0" borderId="10" xfId="0" applyNumberFormat="1" applyBorder="1"/>
    <xf numFmtId="14" fontId="0" fillId="0" borderId="1" xfId="0" applyNumberFormat="1" applyBorder="1"/>
    <xf numFmtId="42" fontId="0" fillId="0" borderId="10" xfId="0" applyNumberFormat="1" applyBorder="1"/>
    <xf numFmtId="0" fontId="6" fillId="3" borderId="8" xfId="0" applyFont="1" applyFill="1" applyBorder="1"/>
    <xf numFmtId="0" fontId="6" fillId="3" borderId="2" xfId="0" applyFont="1" applyFill="1" applyBorder="1"/>
    <xf numFmtId="41" fontId="0" fillId="0" borderId="1" xfId="0" applyNumberFormat="1" applyBorder="1"/>
    <xf numFmtId="41" fontId="0" fillId="3" borderId="1" xfId="0" applyNumberFormat="1" applyFill="1" applyBorder="1"/>
    <xf numFmtId="41" fontId="0" fillId="10" borderId="1" xfId="0" applyNumberFormat="1" applyFill="1" applyBorder="1"/>
    <xf numFmtId="41" fontId="0" fillId="11" borderId="1" xfId="0" applyNumberFormat="1" applyFill="1" applyBorder="1"/>
    <xf numFmtId="41" fontId="0" fillId="0" borderId="0" xfId="0" applyNumberFormat="1"/>
    <xf numFmtId="0" fontId="7" fillId="0" borderId="0" xfId="0" applyFont="1" applyAlignment="1">
      <alignment horizontal="left" wrapText="1"/>
    </xf>
    <xf numFmtId="0" fontId="7" fillId="4" borderId="7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7" fillId="0" borderId="0" xfId="0" applyFont="1"/>
    <xf numFmtId="0" fontId="10" fillId="0" borderId="0" xfId="0" applyFont="1"/>
    <xf numFmtId="42" fontId="10" fillId="0" borderId="0" xfId="2" applyFont="1"/>
    <xf numFmtId="0" fontId="10" fillId="0" borderId="5" xfId="0" applyFont="1" applyBorder="1"/>
    <xf numFmtId="0" fontId="10" fillId="0" borderId="5" xfId="0" applyFont="1" applyFill="1" applyBorder="1"/>
    <xf numFmtId="0" fontId="11" fillId="0" borderId="5" xfId="0" applyFont="1" applyBorder="1"/>
    <xf numFmtId="0" fontId="11" fillId="0" borderId="0" xfId="0" applyFont="1"/>
    <xf numFmtId="0" fontId="8" fillId="0" borderId="0" xfId="0" applyFont="1" applyBorder="1"/>
    <xf numFmtId="42" fontId="8" fillId="0" borderId="0" xfId="0" applyNumberFormat="1" applyFont="1" applyBorder="1"/>
    <xf numFmtId="42" fontId="8" fillId="0" borderId="0" xfId="0" applyNumberFormat="1" applyFont="1"/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zoomScale="90" zoomScaleNormal="90" workbookViewId="0">
      <selection activeCell="G111" sqref="G111"/>
    </sheetView>
  </sheetViews>
  <sheetFormatPr defaultColWidth="11" defaultRowHeight="14.4" x14ac:dyDescent="0.3"/>
  <cols>
    <col min="1" max="1" width="11" style="21"/>
    <col min="2" max="2" width="18.1796875" style="21" bestFit="1" customWidth="1"/>
    <col min="3" max="3" width="17" style="22" bestFit="1" customWidth="1"/>
    <col min="4" max="4" width="16.453125" style="21" bestFit="1" customWidth="1"/>
    <col min="5" max="5" width="17" style="22" bestFit="1" customWidth="1"/>
    <col min="6" max="6" width="7.6328125" style="21" customWidth="1"/>
    <col min="7" max="7" width="5.6328125" style="21" customWidth="1"/>
    <col min="8" max="8" width="11" style="21"/>
    <col min="9" max="9" width="23.81640625" style="21" customWidth="1"/>
    <col min="10" max="11" width="17" style="22" bestFit="1" customWidth="1"/>
    <col min="12" max="16384" width="11" style="21"/>
  </cols>
  <sheetData>
    <row r="1" spans="2:16" x14ac:dyDescent="0.3">
      <c r="B1" s="18" t="s">
        <v>0</v>
      </c>
      <c r="C1" s="19"/>
      <c r="D1" s="20"/>
      <c r="E1" s="19"/>
      <c r="F1" s="20"/>
    </row>
    <row r="2" spans="2:16" ht="16.5" customHeight="1" x14ac:dyDescent="0.3"/>
    <row r="3" spans="2:16" ht="15" thickBot="1" x14ac:dyDescent="0.35">
      <c r="B3" s="46" t="s">
        <v>6</v>
      </c>
      <c r="C3" s="46"/>
      <c r="D3" s="46"/>
      <c r="E3" s="46"/>
      <c r="F3" s="46"/>
      <c r="G3" s="47" t="s">
        <v>7</v>
      </c>
      <c r="H3" s="47"/>
      <c r="I3" s="47"/>
      <c r="J3" s="47"/>
      <c r="K3" s="47"/>
    </row>
    <row r="4" spans="2:16" ht="15" thickBot="1" x14ac:dyDescent="0.35">
      <c r="B4" s="50" t="s">
        <v>4</v>
      </c>
      <c r="C4" s="51"/>
      <c r="D4" s="52" t="s">
        <v>5</v>
      </c>
      <c r="E4" s="49"/>
      <c r="G4" s="23" t="s">
        <v>1</v>
      </c>
      <c r="H4" s="23" t="s">
        <v>2</v>
      </c>
      <c r="I4" s="23" t="s">
        <v>3</v>
      </c>
      <c r="J4" s="24" t="s">
        <v>4</v>
      </c>
      <c r="K4" s="24" t="s">
        <v>5</v>
      </c>
      <c r="P4" s="21" t="s">
        <v>26</v>
      </c>
    </row>
    <row r="5" spans="2:16" x14ac:dyDescent="0.3">
      <c r="B5" s="63" t="s">
        <v>29</v>
      </c>
      <c r="C5" s="64">
        <v>2500000</v>
      </c>
      <c r="D5" s="65" t="s">
        <v>33</v>
      </c>
      <c r="E5" s="64">
        <v>200000000</v>
      </c>
      <c r="G5" s="26"/>
      <c r="H5" s="27"/>
      <c r="I5" s="26"/>
      <c r="J5" s="28"/>
      <c r="K5" s="28"/>
      <c r="L5" s="21" t="s">
        <v>28</v>
      </c>
      <c r="P5" s="21" t="s">
        <v>27</v>
      </c>
    </row>
    <row r="6" spans="2:16" x14ac:dyDescent="0.3">
      <c r="B6" s="63" t="s">
        <v>30</v>
      </c>
      <c r="C6" s="64">
        <v>450000000</v>
      </c>
      <c r="D6" s="66" t="s">
        <v>34</v>
      </c>
      <c r="E6" s="64">
        <f>E5*180*12.5/36500</f>
        <v>12328767.12328767</v>
      </c>
      <c r="G6" s="26"/>
      <c r="H6" s="26"/>
      <c r="I6" s="26"/>
      <c r="J6" s="28"/>
      <c r="K6" s="28"/>
    </row>
    <row r="7" spans="2:16" x14ac:dyDescent="0.3">
      <c r="B7" s="63" t="s">
        <v>31</v>
      </c>
      <c r="C7" s="64">
        <v>100000000</v>
      </c>
      <c r="D7" s="67" t="s">
        <v>36</v>
      </c>
      <c r="E7" s="64">
        <f>SUM(E5:E6)</f>
        <v>212328767.12328768</v>
      </c>
      <c r="G7" s="26"/>
      <c r="H7" s="26"/>
      <c r="I7" s="29"/>
      <c r="J7" s="28"/>
      <c r="K7" s="28"/>
    </row>
    <row r="8" spans="2:16" x14ac:dyDescent="0.3">
      <c r="B8" s="63" t="s">
        <v>32</v>
      </c>
      <c r="C8" s="64">
        <v>1300000</v>
      </c>
      <c r="D8" s="68" t="s">
        <v>35</v>
      </c>
      <c r="E8" s="64">
        <f>C9-E7</f>
        <v>341471232.87671232</v>
      </c>
      <c r="G8" s="26"/>
      <c r="H8" s="26"/>
      <c r="I8" s="29"/>
      <c r="J8" s="28"/>
      <c r="K8" s="28"/>
    </row>
    <row r="9" spans="2:16" ht="15" thickBot="1" x14ac:dyDescent="0.35">
      <c r="B9" s="63"/>
      <c r="C9" s="64">
        <f>SUM(C5:C8)</f>
        <v>553800000</v>
      </c>
      <c r="D9" s="63"/>
      <c r="E9" s="64">
        <f>SUM(E7:E8)</f>
        <v>553800000</v>
      </c>
      <c r="G9" s="30"/>
      <c r="H9" s="30"/>
      <c r="I9" s="31"/>
      <c r="J9" s="32"/>
      <c r="K9" s="32"/>
    </row>
    <row r="10" spans="2:16" ht="15" thickBot="1" x14ac:dyDescent="0.35">
      <c r="B10" s="50"/>
      <c r="C10" s="49"/>
      <c r="D10" s="48"/>
      <c r="E10" s="49"/>
      <c r="G10" s="26"/>
      <c r="H10" s="27"/>
      <c r="I10" s="26"/>
      <c r="J10" s="28"/>
      <c r="K10" s="28"/>
    </row>
    <row r="11" spans="2:16" x14ac:dyDescent="0.3">
      <c r="B11" s="21" t="s">
        <v>37</v>
      </c>
      <c r="C11" s="22">
        <v>2650000</v>
      </c>
      <c r="D11" s="25" t="s">
        <v>30</v>
      </c>
      <c r="E11" s="22">
        <f>C11</f>
        <v>2650000</v>
      </c>
      <c r="G11" s="26"/>
      <c r="H11" s="26"/>
      <c r="I11" s="26"/>
      <c r="J11" s="28"/>
      <c r="K11" s="28"/>
    </row>
    <row r="12" spans="2:16" x14ac:dyDescent="0.3">
      <c r="D12" s="25"/>
      <c r="G12" s="26"/>
      <c r="H12" s="26"/>
      <c r="I12" s="29"/>
      <c r="J12" s="28"/>
      <c r="K12" s="28"/>
    </row>
    <row r="13" spans="2:16" x14ac:dyDescent="0.3">
      <c r="D13" s="25"/>
      <c r="G13" s="30"/>
      <c r="H13" s="30"/>
      <c r="I13" s="30"/>
      <c r="J13" s="32"/>
      <c r="K13" s="32"/>
    </row>
    <row r="14" spans="2:16" ht="15" thickBot="1" x14ac:dyDescent="0.35">
      <c r="G14" s="26"/>
      <c r="H14" s="27"/>
      <c r="I14" s="26"/>
      <c r="J14" s="28"/>
      <c r="K14" s="28"/>
    </row>
    <row r="15" spans="2:16" ht="15" thickBot="1" x14ac:dyDescent="0.35">
      <c r="B15" s="50"/>
      <c r="C15" s="49"/>
      <c r="D15" s="48"/>
      <c r="E15" s="49"/>
      <c r="G15" s="26"/>
      <c r="H15" s="26"/>
      <c r="I15" s="26"/>
      <c r="J15" s="28"/>
      <c r="K15" s="28"/>
    </row>
    <row r="16" spans="2:16" x14ac:dyDescent="0.3">
      <c r="B16" s="21" t="s">
        <v>38</v>
      </c>
      <c r="C16" s="22">
        <f>47000000/1.1</f>
        <v>42727272.727272727</v>
      </c>
      <c r="D16" s="25" t="s">
        <v>30</v>
      </c>
      <c r="E16" s="22">
        <f>0.5*47000000</f>
        <v>23500000</v>
      </c>
      <c r="G16" s="26"/>
      <c r="H16" s="26"/>
      <c r="I16" s="26"/>
      <c r="J16" s="28"/>
      <c r="K16" s="28"/>
    </row>
    <row r="17" spans="1:11" x14ac:dyDescent="0.3">
      <c r="B17" s="21" t="s">
        <v>40</v>
      </c>
      <c r="C17" s="22">
        <f>47000000/11</f>
        <v>4272727.2727272725</v>
      </c>
      <c r="D17" s="25" t="s">
        <v>39</v>
      </c>
      <c r="E17" s="22">
        <f>E16</f>
        <v>23500000</v>
      </c>
      <c r="G17" s="26"/>
      <c r="H17" s="26"/>
      <c r="I17" s="29"/>
      <c r="J17" s="28"/>
      <c r="K17" s="28"/>
    </row>
    <row r="18" spans="1:11" x14ac:dyDescent="0.3">
      <c r="C18" s="33">
        <f>SUM(C16:C17)</f>
        <v>47000000</v>
      </c>
      <c r="D18" s="25"/>
      <c r="E18" s="22">
        <f>SUM(E16:E17)</f>
        <v>47000000</v>
      </c>
      <c r="G18" s="26"/>
      <c r="H18" s="26"/>
      <c r="I18" s="29"/>
      <c r="J18" s="28"/>
      <c r="K18" s="28"/>
    </row>
    <row r="19" spans="1:11" x14ac:dyDescent="0.3">
      <c r="C19" s="33"/>
      <c r="D19" s="69"/>
      <c r="G19" s="26"/>
      <c r="H19" s="26"/>
      <c r="I19" s="29"/>
      <c r="J19" s="28"/>
      <c r="K19" s="28"/>
    </row>
    <row r="20" spans="1:11" x14ac:dyDescent="0.3">
      <c r="B20" s="21" t="s">
        <v>41</v>
      </c>
      <c r="C20" s="33" t="s">
        <v>43</v>
      </c>
      <c r="D20" s="69" t="s">
        <v>46</v>
      </c>
      <c r="G20" s="26"/>
      <c r="H20" s="26"/>
      <c r="I20" s="29"/>
      <c r="J20" s="28"/>
      <c r="K20" s="28"/>
    </row>
    <row r="21" spans="1:11" x14ac:dyDescent="0.3">
      <c r="A21" s="21">
        <v>35</v>
      </c>
      <c r="B21" s="21" t="s">
        <v>42</v>
      </c>
      <c r="C21" s="33">
        <v>5900000</v>
      </c>
      <c r="D21" s="70">
        <f>A21*C21</f>
        <v>206500000</v>
      </c>
      <c r="G21" s="26"/>
      <c r="H21" s="26"/>
      <c r="I21" s="29"/>
      <c r="J21" s="28"/>
      <c r="K21" s="28"/>
    </row>
    <row r="22" spans="1:11" ht="15" thickBot="1" x14ac:dyDescent="0.35">
      <c r="A22" s="21">
        <v>30</v>
      </c>
      <c r="B22" s="21" t="s">
        <v>44</v>
      </c>
      <c r="C22" s="22">
        <v>600000</v>
      </c>
      <c r="D22" s="71">
        <f>A22*C22</f>
        <v>18000000</v>
      </c>
      <c r="G22" s="32"/>
      <c r="H22" s="32"/>
      <c r="I22" s="32"/>
      <c r="J22" s="32"/>
      <c r="K22" s="32"/>
    </row>
    <row r="23" spans="1:11" ht="15" thickBot="1" x14ac:dyDescent="0.35">
      <c r="B23" s="50"/>
      <c r="C23" s="49"/>
      <c r="D23" s="48"/>
      <c r="E23" s="49"/>
      <c r="G23" s="26"/>
      <c r="H23" s="27"/>
      <c r="I23" s="26"/>
      <c r="J23" s="28"/>
      <c r="K23" s="28"/>
    </row>
    <row r="24" spans="1:11" x14ac:dyDescent="0.3">
      <c r="B24" s="21" t="s">
        <v>45</v>
      </c>
      <c r="C24" s="22">
        <f>A21*C21/1.1</f>
        <v>187727272.72727272</v>
      </c>
      <c r="D24" s="25" t="s">
        <v>30</v>
      </c>
      <c r="E24" s="22">
        <f>C28</f>
        <v>224500000</v>
      </c>
      <c r="G24" s="26"/>
      <c r="H24" s="26"/>
      <c r="I24" s="26"/>
      <c r="J24" s="28"/>
      <c r="K24" s="28"/>
    </row>
    <row r="25" spans="1:11" x14ac:dyDescent="0.3">
      <c r="B25" s="21" t="s">
        <v>40</v>
      </c>
      <c r="C25" s="22">
        <f>A21*C21/11</f>
        <v>18772727.272727273</v>
      </c>
      <c r="D25" s="25"/>
      <c r="G25" s="26"/>
      <c r="H25" s="26"/>
      <c r="I25" s="26"/>
      <c r="J25" s="28"/>
      <c r="K25" s="28"/>
    </row>
    <row r="26" spans="1:11" x14ac:dyDescent="0.3">
      <c r="B26" s="21" t="s">
        <v>45</v>
      </c>
      <c r="C26" s="22">
        <f>D22/1.1</f>
        <v>16363636.363636361</v>
      </c>
      <c r="D26" s="25"/>
      <c r="G26" s="26"/>
      <c r="H26" s="26"/>
      <c r="I26" s="26"/>
      <c r="J26" s="28"/>
      <c r="K26" s="28"/>
    </row>
    <row r="27" spans="1:11" x14ac:dyDescent="0.3">
      <c r="B27" s="21" t="s">
        <v>40</v>
      </c>
      <c r="C27" s="22">
        <f>D22/11</f>
        <v>1636363.6363636365</v>
      </c>
      <c r="D27" s="25"/>
      <c r="G27" s="26"/>
      <c r="H27" s="26"/>
      <c r="I27" s="26"/>
      <c r="J27" s="28"/>
      <c r="K27" s="28"/>
    </row>
    <row r="28" spans="1:11" x14ac:dyDescent="0.3">
      <c r="C28" s="22">
        <f>SUM(C24:C27)</f>
        <v>224500000</v>
      </c>
      <c r="D28" s="25"/>
      <c r="G28" s="26"/>
      <c r="H28" s="26"/>
      <c r="I28" s="29"/>
      <c r="J28" s="28"/>
      <c r="K28" s="28"/>
    </row>
    <row r="29" spans="1:11" x14ac:dyDescent="0.3">
      <c r="D29" s="69"/>
      <c r="G29" s="26"/>
      <c r="H29" s="26"/>
      <c r="I29" s="29"/>
      <c r="J29" s="28"/>
      <c r="K29" s="28"/>
    </row>
    <row r="30" spans="1:11" x14ac:dyDescent="0.3">
      <c r="B30" s="62" t="s">
        <v>47</v>
      </c>
      <c r="C30" s="22" t="s">
        <v>43</v>
      </c>
      <c r="D30" s="69" t="s">
        <v>46</v>
      </c>
      <c r="G30" s="26"/>
      <c r="H30" s="26"/>
      <c r="I30" s="29"/>
      <c r="J30" s="28"/>
      <c r="K30" s="28"/>
    </row>
    <row r="31" spans="1:11" x14ac:dyDescent="0.3">
      <c r="A31" s="21">
        <v>30</v>
      </c>
      <c r="B31" s="21" t="str">
        <f>B21</f>
        <v>PANEL BIFACIAL</v>
      </c>
      <c r="C31" s="22">
        <v>6800000</v>
      </c>
      <c r="D31" s="70">
        <f>A31*C31</f>
        <v>204000000</v>
      </c>
      <c r="G31" s="26"/>
      <c r="H31" s="26"/>
      <c r="I31" s="29"/>
      <c r="J31" s="28"/>
      <c r="K31" s="28"/>
    </row>
    <row r="32" spans="1:11" ht="15" thickBot="1" x14ac:dyDescent="0.35">
      <c r="A32" s="21">
        <v>22</v>
      </c>
      <c r="B32" s="21" t="str">
        <f>B22</f>
        <v>PANEL CON REFLECTOR</v>
      </c>
      <c r="C32" s="22">
        <f>900000</f>
        <v>900000</v>
      </c>
      <c r="D32" s="71">
        <f>A32*C32</f>
        <v>19800000</v>
      </c>
      <c r="G32" s="26"/>
      <c r="H32" s="26"/>
      <c r="I32" s="29"/>
      <c r="J32" s="28"/>
      <c r="K32" s="28"/>
    </row>
    <row r="33" spans="1:11" ht="15" thickBot="1" x14ac:dyDescent="0.35">
      <c r="B33" s="50"/>
      <c r="C33" s="49"/>
      <c r="D33" s="48"/>
      <c r="E33" s="49"/>
      <c r="G33" s="30"/>
      <c r="H33" s="30"/>
      <c r="I33" s="30"/>
      <c r="J33" s="32"/>
      <c r="K33" s="32"/>
    </row>
    <row r="34" spans="1:11" x14ac:dyDescent="0.3">
      <c r="B34" s="21" t="s">
        <v>30</v>
      </c>
      <c r="C34" s="22">
        <f>D31*0.4+D32*0.4</f>
        <v>89520000</v>
      </c>
      <c r="D34" s="25" t="s">
        <v>45</v>
      </c>
      <c r="E34" s="22">
        <f>(D31+D32)/1.1</f>
        <v>203454545.45454544</v>
      </c>
      <c r="G34" s="26"/>
      <c r="H34" s="27"/>
      <c r="K34" s="28"/>
    </row>
    <row r="35" spans="1:11" x14ac:dyDescent="0.3">
      <c r="B35" s="21" t="s">
        <v>32</v>
      </c>
      <c r="C35" s="22">
        <f>0.6*D31+0.6*D32</f>
        <v>134280000</v>
      </c>
      <c r="D35" s="25" t="s">
        <v>48</v>
      </c>
      <c r="E35" s="22">
        <f>(D31+D32)/11</f>
        <v>20345454.545454547</v>
      </c>
      <c r="G35" s="26"/>
      <c r="H35" s="26"/>
      <c r="K35" s="28"/>
    </row>
    <row r="36" spans="1:11" x14ac:dyDescent="0.3">
      <c r="C36" s="22">
        <f>SUM(C34:C35)</f>
        <v>223800000</v>
      </c>
      <c r="D36" s="25"/>
      <c r="E36" s="22">
        <f>SUM(E34:E35)</f>
        <v>223800000</v>
      </c>
      <c r="G36" s="26"/>
      <c r="H36" s="26"/>
      <c r="I36" s="26"/>
      <c r="J36" s="28"/>
      <c r="K36" s="28"/>
    </row>
    <row r="37" spans="1:11" x14ac:dyDescent="0.3">
      <c r="D37" s="69"/>
      <c r="G37" s="26"/>
      <c r="H37" s="26"/>
      <c r="I37" s="26"/>
      <c r="J37" s="28"/>
      <c r="K37" s="28"/>
    </row>
    <row r="38" spans="1:11" x14ac:dyDescent="0.3">
      <c r="B38" s="62" t="s">
        <v>49</v>
      </c>
      <c r="C38" s="22" t="s">
        <v>50</v>
      </c>
      <c r="D38" s="69" t="s">
        <v>51</v>
      </c>
      <c r="G38" s="26"/>
      <c r="H38" s="26"/>
      <c r="I38" s="26"/>
      <c r="J38" s="28"/>
      <c r="K38" s="28"/>
    </row>
    <row r="39" spans="1:11" x14ac:dyDescent="0.3">
      <c r="A39" s="21">
        <v>30</v>
      </c>
      <c r="B39" s="21" t="str">
        <f>B31</f>
        <v>PANEL BIFACIAL</v>
      </c>
      <c r="C39" s="22">
        <f>C31/1.1</f>
        <v>6181818.1818181816</v>
      </c>
      <c r="D39" s="70">
        <f>A39*C39</f>
        <v>185454545.45454544</v>
      </c>
      <c r="G39" s="26"/>
      <c r="H39" s="26"/>
      <c r="I39" s="26"/>
      <c r="J39" s="28"/>
      <c r="K39" s="28"/>
    </row>
    <row r="40" spans="1:11" ht="15" thickBot="1" x14ac:dyDescent="0.35">
      <c r="A40" s="21">
        <v>22</v>
      </c>
      <c r="B40" s="21" t="str">
        <f>B32</f>
        <v>PANEL CON REFLECTOR</v>
      </c>
      <c r="C40" s="22">
        <f>C32/1.1</f>
        <v>818181.81818181812</v>
      </c>
      <c r="D40" s="71">
        <f>A40*C40</f>
        <v>18000000</v>
      </c>
      <c r="G40" s="26"/>
      <c r="H40" s="26"/>
      <c r="I40" s="29"/>
      <c r="J40" s="28"/>
      <c r="K40" s="28"/>
    </row>
    <row r="41" spans="1:11" ht="15" thickBot="1" x14ac:dyDescent="0.35">
      <c r="B41" s="50"/>
      <c r="C41" s="49"/>
      <c r="D41" s="48"/>
      <c r="E41" s="49"/>
      <c r="G41" s="26"/>
      <c r="H41" s="26"/>
      <c r="I41" s="29"/>
      <c r="J41" s="28"/>
      <c r="K41" s="28"/>
    </row>
    <row r="42" spans="1:11" x14ac:dyDescent="0.3">
      <c r="B42" s="21" t="s">
        <v>52</v>
      </c>
      <c r="C42" s="22">
        <f>D39+D40</f>
        <v>203454545.45454544</v>
      </c>
      <c r="D42" s="25" t="s">
        <v>45</v>
      </c>
      <c r="E42" s="22">
        <f>C42</f>
        <v>203454545.45454544</v>
      </c>
      <c r="G42" s="30"/>
      <c r="H42" s="30"/>
      <c r="I42" s="30"/>
      <c r="J42" s="32"/>
      <c r="K42" s="32"/>
    </row>
    <row r="43" spans="1:11" x14ac:dyDescent="0.3">
      <c r="D43" s="25"/>
      <c r="G43" s="26"/>
      <c r="H43" s="27"/>
      <c r="K43" s="28"/>
    </row>
    <row r="44" spans="1:11" x14ac:dyDescent="0.3">
      <c r="D44" s="25"/>
      <c r="G44" s="26"/>
      <c r="H44" s="27"/>
      <c r="K44" s="28"/>
    </row>
    <row r="45" spans="1:11" x14ac:dyDescent="0.3">
      <c r="B45" s="62" t="s">
        <v>41</v>
      </c>
      <c r="C45" s="22" t="s">
        <v>43</v>
      </c>
      <c r="D45" s="25" t="s">
        <v>46</v>
      </c>
      <c r="G45" s="26"/>
      <c r="H45" s="26"/>
      <c r="K45" s="28"/>
    </row>
    <row r="46" spans="1:11" x14ac:dyDescent="0.3">
      <c r="A46" s="21">
        <v>10</v>
      </c>
      <c r="B46" s="21" t="s">
        <v>42</v>
      </c>
      <c r="C46" s="22">
        <v>5900000</v>
      </c>
      <c r="D46" s="71">
        <f>A46*C46</f>
        <v>59000000</v>
      </c>
      <c r="G46" s="26"/>
      <c r="H46" s="26"/>
      <c r="I46" s="26"/>
      <c r="J46" s="28"/>
      <c r="K46" s="28"/>
    </row>
    <row r="47" spans="1:11" ht="15" thickBot="1" x14ac:dyDescent="0.35">
      <c r="A47" s="21">
        <v>5</v>
      </c>
      <c r="B47" s="21" t="s">
        <v>44</v>
      </c>
      <c r="C47" s="22">
        <v>600000</v>
      </c>
      <c r="D47" s="71">
        <f>C47*A47</f>
        <v>3000000</v>
      </c>
      <c r="G47" s="26"/>
      <c r="H47" s="26"/>
      <c r="I47" s="26"/>
      <c r="J47" s="28"/>
      <c r="K47" s="28"/>
    </row>
    <row r="48" spans="1:11" ht="15" thickBot="1" x14ac:dyDescent="0.35">
      <c r="B48" s="50"/>
      <c r="C48" s="49"/>
      <c r="D48" s="48"/>
      <c r="E48" s="49"/>
      <c r="G48" s="26"/>
      <c r="H48" s="26"/>
      <c r="I48" s="29"/>
      <c r="J48" s="28"/>
      <c r="K48" s="28"/>
    </row>
    <row r="49" spans="1:11" x14ac:dyDescent="0.3">
      <c r="B49" s="21" t="s">
        <v>45</v>
      </c>
      <c r="C49" s="22">
        <f>(D46+D47)/1.1</f>
        <v>56363636.36363636</v>
      </c>
      <c r="D49" s="25" t="s">
        <v>30</v>
      </c>
      <c r="E49" s="22">
        <f>C51</f>
        <v>62000000</v>
      </c>
      <c r="G49" s="26"/>
      <c r="H49" s="26"/>
      <c r="I49" s="29"/>
      <c r="J49" s="28"/>
      <c r="K49" s="28"/>
    </row>
    <row r="50" spans="1:11" x14ac:dyDescent="0.3">
      <c r="B50" s="21" t="s">
        <v>40</v>
      </c>
      <c r="C50" s="22">
        <f>(D46+D47)/11</f>
        <v>5636363.6363636367</v>
      </c>
      <c r="D50" s="25"/>
      <c r="G50" s="26"/>
      <c r="H50" s="26"/>
      <c r="I50" s="29"/>
      <c r="J50" s="28"/>
      <c r="K50" s="28"/>
    </row>
    <row r="51" spans="1:11" x14ac:dyDescent="0.3">
      <c r="C51" s="22">
        <f>SUM(C49:C50)</f>
        <v>62000000</v>
      </c>
      <c r="D51" s="25"/>
      <c r="G51" s="30"/>
      <c r="H51" s="30"/>
      <c r="I51" s="30"/>
      <c r="J51" s="32"/>
      <c r="K51" s="32"/>
    </row>
    <row r="52" spans="1:11" x14ac:dyDescent="0.3">
      <c r="G52" s="26"/>
      <c r="H52" s="27"/>
      <c r="I52" s="26"/>
      <c r="J52" s="28"/>
      <c r="K52" s="28"/>
    </row>
    <row r="53" spans="1:11" x14ac:dyDescent="0.3">
      <c r="B53" s="21" t="s">
        <v>47</v>
      </c>
      <c r="C53" s="22" t="s">
        <v>43</v>
      </c>
      <c r="D53" s="21" t="s">
        <v>46</v>
      </c>
      <c r="G53" s="26"/>
      <c r="H53" s="26"/>
      <c r="I53" s="26"/>
      <c r="J53" s="28"/>
      <c r="K53" s="28"/>
    </row>
    <row r="54" spans="1:11" x14ac:dyDescent="0.3">
      <c r="A54" s="21">
        <v>12</v>
      </c>
      <c r="B54" s="21" t="s">
        <v>42</v>
      </c>
      <c r="C54" s="22">
        <v>6850000</v>
      </c>
      <c r="D54" s="71">
        <f>C54*A54</f>
        <v>82200000</v>
      </c>
      <c r="G54" s="26"/>
      <c r="H54" s="26"/>
      <c r="I54" s="26"/>
      <c r="J54" s="28"/>
      <c r="K54" s="28"/>
    </row>
    <row r="55" spans="1:11" x14ac:dyDescent="0.3">
      <c r="A55" s="21">
        <v>10</v>
      </c>
      <c r="B55" s="21" t="s">
        <v>44</v>
      </c>
      <c r="C55" s="22">
        <v>950000</v>
      </c>
      <c r="D55" s="71">
        <f>C55*A55</f>
        <v>9500000</v>
      </c>
      <c r="G55" s="26"/>
      <c r="H55" s="26"/>
      <c r="I55" s="29"/>
      <c r="J55" s="28"/>
      <c r="K55" s="28"/>
    </row>
    <row r="56" spans="1:11" ht="15" thickBot="1" x14ac:dyDescent="0.35">
      <c r="G56" s="26"/>
      <c r="H56" s="26"/>
      <c r="I56" s="29"/>
      <c r="J56" s="28"/>
      <c r="K56" s="28"/>
    </row>
    <row r="57" spans="1:11" ht="15" thickBot="1" x14ac:dyDescent="0.35">
      <c r="B57" s="50"/>
      <c r="C57" s="49"/>
      <c r="D57" s="48"/>
      <c r="E57" s="49"/>
      <c r="G57" s="30"/>
      <c r="H57" s="30"/>
      <c r="I57" s="30"/>
      <c r="J57" s="32"/>
      <c r="K57" s="32"/>
    </row>
    <row r="58" spans="1:11" x14ac:dyDescent="0.3">
      <c r="B58" s="21" t="s">
        <v>30</v>
      </c>
      <c r="C58" s="22">
        <f>D54+D55</f>
        <v>91700000</v>
      </c>
      <c r="D58" s="25" t="s">
        <v>45</v>
      </c>
      <c r="E58" s="22">
        <f>(D54+D55)/1.1</f>
        <v>83363636.36363636</v>
      </c>
      <c r="G58" s="26"/>
      <c r="H58" s="27"/>
      <c r="I58" s="26"/>
      <c r="J58" s="28"/>
      <c r="K58" s="28"/>
    </row>
    <row r="59" spans="1:11" x14ac:dyDescent="0.3">
      <c r="D59" s="25" t="s">
        <v>48</v>
      </c>
      <c r="E59" s="22">
        <f>(D54+D55)/11</f>
        <v>8336363.6363636367</v>
      </c>
      <c r="G59" s="26"/>
      <c r="H59" s="26"/>
      <c r="I59" s="26"/>
      <c r="J59" s="28"/>
      <c r="K59" s="28"/>
    </row>
    <row r="60" spans="1:11" x14ac:dyDescent="0.3">
      <c r="C60" s="22">
        <f>SUM(C58:C59)</f>
        <v>91700000</v>
      </c>
      <c r="D60" s="25"/>
      <c r="E60" s="22">
        <f>SUM(E58:E59)</f>
        <v>91700000</v>
      </c>
      <c r="G60" s="26"/>
      <c r="H60" s="26"/>
      <c r="I60" s="29"/>
      <c r="J60" s="28"/>
      <c r="K60" s="28"/>
    </row>
    <row r="61" spans="1:11" x14ac:dyDescent="0.3">
      <c r="G61" s="26"/>
      <c r="H61" s="26"/>
      <c r="I61" s="29"/>
      <c r="J61" s="28"/>
      <c r="K61" s="28"/>
    </row>
    <row r="62" spans="1:11" x14ac:dyDescent="0.3">
      <c r="B62" s="62" t="s">
        <v>53</v>
      </c>
      <c r="C62" s="34" t="s">
        <v>50</v>
      </c>
      <c r="D62" s="21" t="s">
        <v>51</v>
      </c>
      <c r="G62" s="30"/>
      <c r="H62" s="30"/>
      <c r="I62" s="30"/>
      <c r="J62" s="32"/>
      <c r="K62" s="32"/>
    </row>
    <row r="63" spans="1:11" x14ac:dyDescent="0.3">
      <c r="A63" s="21">
        <v>12</v>
      </c>
      <c r="B63" s="21" t="s">
        <v>42</v>
      </c>
      <c r="C63" s="22">
        <f>C54/1.1</f>
        <v>6227272.7272727266</v>
      </c>
      <c r="D63" s="71">
        <f>C63*A63</f>
        <v>74727272.727272719</v>
      </c>
      <c r="G63" s="26"/>
      <c r="H63" s="27"/>
      <c r="I63" s="26"/>
      <c r="J63" s="28"/>
      <c r="K63" s="28"/>
    </row>
    <row r="64" spans="1:11" x14ac:dyDescent="0.3">
      <c r="A64" s="21">
        <v>10</v>
      </c>
      <c r="B64" s="21" t="s">
        <v>44</v>
      </c>
      <c r="C64" s="22">
        <f>C55/11</f>
        <v>86363.636363636368</v>
      </c>
      <c r="D64" s="71">
        <f>C64*A64</f>
        <v>863636.36363636365</v>
      </c>
      <c r="G64" s="26"/>
      <c r="H64" s="26"/>
      <c r="I64" s="26"/>
      <c r="J64" s="28"/>
      <c r="K64" s="28"/>
    </row>
    <row r="65" spans="2:11" ht="15" thickBot="1" x14ac:dyDescent="0.35">
      <c r="G65" s="26"/>
      <c r="H65" s="26"/>
      <c r="I65" s="26"/>
      <c r="J65" s="28"/>
      <c r="K65" s="28"/>
    </row>
    <row r="66" spans="2:11" ht="15" thickBot="1" x14ac:dyDescent="0.35">
      <c r="B66" s="50"/>
      <c r="C66" s="49"/>
      <c r="D66" s="48"/>
      <c r="E66" s="49"/>
      <c r="G66" s="26"/>
      <c r="H66" s="26"/>
      <c r="I66" s="26"/>
      <c r="J66" s="28"/>
      <c r="K66" s="28"/>
    </row>
    <row r="67" spans="2:11" x14ac:dyDescent="0.3">
      <c r="B67" s="21" t="s">
        <v>52</v>
      </c>
      <c r="C67" s="22">
        <f>D63+D64</f>
        <v>75590909.090909079</v>
      </c>
      <c r="D67" s="25" t="s">
        <v>45</v>
      </c>
      <c r="E67" s="22">
        <f>C67</f>
        <v>75590909.090909079</v>
      </c>
      <c r="G67" s="26"/>
      <c r="H67" s="26"/>
      <c r="I67" s="29"/>
      <c r="J67" s="28"/>
      <c r="K67" s="28"/>
    </row>
    <row r="68" spans="2:11" x14ac:dyDescent="0.3">
      <c r="D68" s="25"/>
      <c r="G68" s="26"/>
      <c r="H68" s="26"/>
      <c r="I68" s="29"/>
      <c r="J68" s="28"/>
      <c r="K68" s="28"/>
    </row>
    <row r="69" spans="2:11" x14ac:dyDescent="0.3">
      <c r="D69" s="25"/>
    </row>
    <row r="72" spans="2:11" ht="15" thickBot="1" x14ac:dyDescent="0.35"/>
    <row r="73" spans="2:11" ht="15" thickBot="1" x14ac:dyDescent="0.35">
      <c r="B73" s="50"/>
      <c r="C73" s="49"/>
      <c r="D73" s="48"/>
      <c r="E73" s="49"/>
    </row>
    <row r="74" spans="2:11" x14ac:dyDescent="0.3">
      <c r="B74" s="21" t="s">
        <v>54</v>
      </c>
      <c r="C74" s="22">
        <v>500000</v>
      </c>
      <c r="D74" s="25" t="s">
        <v>30</v>
      </c>
      <c r="E74" s="22">
        <f>C74</f>
        <v>500000</v>
      </c>
    </row>
    <row r="75" spans="2:11" x14ac:dyDescent="0.3">
      <c r="D75" s="25"/>
    </row>
    <row r="76" spans="2:11" x14ac:dyDescent="0.3">
      <c r="D76" s="25"/>
    </row>
    <row r="78" spans="2:11" ht="15" thickBot="1" x14ac:dyDescent="0.35"/>
    <row r="79" spans="2:11" ht="15" thickBot="1" x14ac:dyDescent="0.35">
      <c r="B79" s="50"/>
      <c r="C79" s="49"/>
      <c r="D79" s="48"/>
      <c r="E79" s="49"/>
    </row>
    <row r="80" spans="2:11" x14ac:dyDescent="0.3">
      <c r="B80" s="21" t="s">
        <v>55</v>
      </c>
      <c r="C80" s="22">
        <f>1320000/1.1</f>
        <v>1200000</v>
      </c>
      <c r="D80" s="25" t="s">
        <v>30</v>
      </c>
      <c r="E80" s="22">
        <f>1320000</f>
        <v>1320000</v>
      </c>
    </row>
    <row r="81" spans="2:5" x14ac:dyDescent="0.3">
      <c r="B81" s="21" t="s">
        <v>40</v>
      </c>
      <c r="C81" s="22">
        <f>1320000/11</f>
        <v>120000</v>
      </c>
      <c r="D81" s="25"/>
    </row>
    <row r="83" spans="2:5" ht="15" thickBot="1" x14ac:dyDescent="0.35"/>
    <row r="84" spans="2:5" ht="15" thickBot="1" x14ac:dyDescent="0.35">
      <c r="B84" s="50"/>
      <c r="C84" s="49"/>
      <c r="D84" s="48"/>
      <c r="E84" s="49"/>
    </row>
    <row r="85" spans="2:5" x14ac:dyDescent="0.3">
      <c r="B85" s="21" t="s">
        <v>56</v>
      </c>
      <c r="C85" s="22">
        <f>980000/1.1</f>
        <v>890909.09090909082</v>
      </c>
      <c r="D85" s="25" t="s">
        <v>30</v>
      </c>
      <c r="E85" s="22">
        <f>C87</f>
        <v>979999.99999999988</v>
      </c>
    </row>
    <row r="86" spans="2:5" x14ac:dyDescent="0.3">
      <c r="B86" s="21" t="s">
        <v>40</v>
      </c>
      <c r="C86" s="22">
        <f>980000/11</f>
        <v>89090.909090909088</v>
      </c>
      <c r="D86" s="25"/>
    </row>
    <row r="87" spans="2:5" x14ac:dyDescent="0.3">
      <c r="C87" s="22">
        <f>SUM(C85:C86)</f>
        <v>979999.99999999988</v>
      </c>
      <c r="E87" s="22">
        <f>SUM(E85:E86)</f>
        <v>979999.99999999988</v>
      </c>
    </row>
    <row r="88" spans="2:5" x14ac:dyDescent="0.3">
      <c r="C88" s="34"/>
    </row>
    <row r="90" spans="2:5" ht="15" thickBot="1" x14ac:dyDescent="0.35">
      <c r="B90" s="21">
        <v>5080000</v>
      </c>
    </row>
    <row r="91" spans="2:5" ht="15" thickBot="1" x14ac:dyDescent="0.35">
      <c r="B91" s="50"/>
      <c r="C91" s="49"/>
      <c r="D91" s="48"/>
      <c r="E91" s="49"/>
    </row>
    <row r="92" spans="2:5" x14ac:dyDescent="0.3">
      <c r="B92" s="21" t="s">
        <v>57</v>
      </c>
      <c r="C92" s="22">
        <f>B90/1.1</f>
        <v>4618181.8181818174</v>
      </c>
      <c r="D92" s="25" t="s">
        <v>30</v>
      </c>
      <c r="E92" s="22">
        <f>B90</f>
        <v>5080000</v>
      </c>
    </row>
    <row r="93" spans="2:5" x14ac:dyDescent="0.3">
      <c r="B93" s="21" t="s">
        <v>40</v>
      </c>
      <c r="C93" s="22">
        <f>B90/11</f>
        <v>461818.18181818182</v>
      </c>
      <c r="D93" s="25"/>
    </row>
    <row r="94" spans="2:5" x14ac:dyDescent="0.3">
      <c r="D94" s="25"/>
    </row>
    <row r="96" spans="2:5" ht="15" thickBot="1" x14ac:dyDescent="0.35">
      <c r="B96" s="21">
        <v>3000000</v>
      </c>
    </row>
    <row r="97" spans="2:5" ht="15" thickBot="1" x14ac:dyDescent="0.35">
      <c r="B97" s="50"/>
      <c r="C97" s="49"/>
      <c r="D97" s="48"/>
      <c r="E97" s="49"/>
    </row>
    <row r="98" spans="2:5" x14ac:dyDescent="0.3">
      <c r="B98" s="21" t="s">
        <v>58</v>
      </c>
      <c r="C98" s="22">
        <f>B96</f>
        <v>3000000</v>
      </c>
      <c r="D98" s="25" t="s">
        <v>30</v>
      </c>
      <c r="E98" s="22">
        <f>C98*91%</f>
        <v>2730000</v>
      </c>
    </row>
    <row r="99" spans="2:5" x14ac:dyDescent="0.3">
      <c r="B99" s="21" t="s">
        <v>59</v>
      </c>
      <c r="C99" s="22">
        <f>C98*16.5%</f>
        <v>495000</v>
      </c>
      <c r="D99" s="25" t="s">
        <v>60</v>
      </c>
      <c r="E99" s="22">
        <f>C99+C98*9%</f>
        <v>765000</v>
      </c>
    </row>
    <row r="100" spans="2:5" x14ac:dyDescent="0.3">
      <c r="D100" s="25"/>
    </row>
    <row r="102" spans="2:5" ht="15" thickBot="1" x14ac:dyDescent="0.35">
      <c r="B102" s="21">
        <v>3500000</v>
      </c>
    </row>
    <row r="103" spans="2:5" ht="15" thickBot="1" x14ac:dyDescent="0.35">
      <c r="B103" s="50"/>
      <c r="C103" s="49"/>
      <c r="D103" s="48"/>
      <c r="E103" s="49"/>
    </row>
    <row r="104" spans="2:5" x14ac:dyDescent="0.3">
      <c r="B104" s="21" t="s">
        <v>58</v>
      </c>
      <c r="C104" s="22">
        <f>B102</f>
        <v>3500000</v>
      </c>
      <c r="D104" s="25" t="s">
        <v>30</v>
      </c>
      <c r="E104" s="22">
        <f>C104*91%</f>
        <v>3185000</v>
      </c>
    </row>
    <row r="105" spans="2:5" x14ac:dyDescent="0.3">
      <c r="B105" s="21" t="s">
        <v>59</v>
      </c>
      <c r="C105" s="22">
        <f>C104*16.5%</f>
        <v>577500</v>
      </c>
      <c r="D105" s="25" t="s">
        <v>60</v>
      </c>
      <c r="E105" s="22">
        <f>C105+C104*9%</f>
        <v>892500</v>
      </c>
    </row>
    <row r="108" spans="2:5" ht="15" thickBot="1" x14ac:dyDescent="0.35">
      <c r="B108" s="21">
        <v>2680373</v>
      </c>
    </row>
    <row r="109" spans="2:5" ht="15" thickBot="1" x14ac:dyDescent="0.35">
      <c r="B109" s="50"/>
      <c r="C109" s="49"/>
      <c r="D109" s="48"/>
      <c r="E109" s="49"/>
    </row>
    <row r="110" spans="2:5" x14ac:dyDescent="0.3">
      <c r="B110" s="21" t="s">
        <v>58</v>
      </c>
      <c r="C110" s="22">
        <f>B108</f>
        <v>2680373</v>
      </c>
      <c r="D110" s="25" t="s">
        <v>30</v>
      </c>
      <c r="E110" s="22">
        <f>C110*91%</f>
        <v>2439139.4300000002</v>
      </c>
    </row>
    <row r="111" spans="2:5" x14ac:dyDescent="0.3">
      <c r="B111" s="21" t="s">
        <v>59</v>
      </c>
      <c r="C111" s="22">
        <f>C110*16.5%</f>
        <v>442261.54500000004</v>
      </c>
      <c r="D111" s="25" t="s">
        <v>60</v>
      </c>
      <c r="E111" s="22">
        <f>C111+C110*9%</f>
        <v>683495.11499999999</v>
      </c>
    </row>
  </sheetData>
  <mergeCells count="34">
    <mergeCell ref="B103:C103"/>
    <mergeCell ref="D103:E103"/>
    <mergeCell ref="B109:C109"/>
    <mergeCell ref="D109:E109"/>
    <mergeCell ref="B57:C57"/>
    <mergeCell ref="D57:E57"/>
    <mergeCell ref="B79:C79"/>
    <mergeCell ref="D79:E79"/>
    <mergeCell ref="B84:C84"/>
    <mergeCell ref="D84:E84"/>
    <mergeCell ref="B73:C73"/>
    <mergeCell ref="D73:E73"/>
    <mergeCell ref="B97:C97"/>
    <mergeCell ref="D97:E97"/>
    <mergeCell ref="B66:C66"/>
    <mergeCell ref="D66:E66"/>
    <mergeCell ref="B91:C91"/>
    <mergeCell ref="D91:E91"/>
    <mergeCell ref="B41:C41"/>
    <mergeCell ref="D41:E41"/>
    <mergeCell ref="B48:C48"/>
    <mergeCell ref="D48:E48"/>
    <mergeCell ref="B4:C4"/>
    <mergeCell ref="D4:E4"/>
    <mergeCell ref="B23:C23"/>
    <mergeCell ref="D23:E23"/>
    <mergeCell ref="B33:C33"/>
    <mergeCell ref="D33:E33"/>
    <mergeCell ref="B3:F3"/>
    <mergeCell ref="G3:K3"/>
    <mergeCell ref="D10:E10"/>
    <mergeCell ref="B10:C10"/>
    <mergeCell ref="B15:C15"/>
    <mergeCell ref="D15:E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workbookViewId="0">
      <selection activeCell="B91" sqref="B91"/>
    </sheetView>
  </sheetViews>
  <sheetFormatPr defaultColWidth="10.90625" defaultRowHeight="15.6" x14ac:dyDescent="0.3"/>
  <cols>
    <col min="3" max="3" width="23" customWidth="1"/>
    <col min="4" max="4" width="12.453125" bestFit="1" customWidth="1"/>
    <col min="6" max="6" width="12.453125" bestFit="1" customWidth="1"/>
  </cols>
  <sheetData>
    <row r="1" spans="1:8" ht="21" x14ac:dyDescent="0.4">
      <c r="A1" s="53" t="s">
        <v>8</v>
      </c>
      <c r="B1" s="53"/>
      <c r="C1" s="53"/>
      <c r="D1" s="53"/>
      <c r="E1" s="53"/>
    </row>
    <row r="2" spans="1:8" ht="21" x14ac:dyDescent="0.4">
      <c r="A2" s="2"/>
      <c r="B2" s="2"/>
      <c r="C2" s="2"/>
      <c r="D2" s="2"/>
      <c r="E2" s="2"/>
    </row>
    <row r="3" spans="1:8" ht="21.6" thickBot="1" x14ac:dyDescent="0.45">
      <c r="A3" s="7" t="s">
        <v>11</v>
      </c>
      <c r="B3" s="8">
        <v>1</v>
      </c>
      <c r="C3" s="7" t="s">
        <v>12</v>
      </c>
      <c r="D3" s="8"/>
      <c r="E3" s="9"/>
      <c r="F3" s="10"/>
    </row>
    <row r="4" spans="1:8" ht="16.2" thickBot="1" x14ac:dyDescent="0.35">
      <c r="A4" s="4" t="s">
        <v>1</v>
      </c>
      <c r="B4" s="5" t="s">
        <v>2</v>
      </c>
      <c r="C4" s="5" t="s">
        <v>10</v>
      </c>
      <c r="D4" s="5" t="s">
        <v>4</v>
      </c>
      <c r="E4" s="5" t="s">
        <v>5</v>
      </c>
      <c r="F4" s="6" t="s">
        <v>9</v>
      </c>
      <c r="H4" s="35"/>
    </row>
    <row r="5" spans="1:8" x14ac:dyDescent="0.3">
      <c r="A5" s="3"/>
      <c r="B5" s="3"/>
      <c r="C5" s="3"/>
      <c r="D5" s="3"/>
      <c r="E5" s="3"/>
      <c r="F5" s="3"/>
    </row>
    <row r="6" spans="1:8" x14ac:dyDescent="0.3">
      <c r="A6" s="1"/>
      <c r="B6" s="1"/>
      <c r="C6" s="1"/>
      <c r="D6" s="1"/>
      <c r="E6" s="1"/>
      <c r="F6" s="1"/>
    </row>
    <row r="7" spans="1:8" x14ac:dyDescent="0.3">
      <c r="A7" s="1"/>
      <c r="B7" s="1"/>
      <c r="C7" s="1"/>
      <c r="D7" s="1"/>
      <c r="E7" s="1"/>
      <c r="F7" s="1"/>
    </row>
    <row r="8" spans="1:8" x14ac:dyDescent="0.3">
      <c r="A8" s="1"/>
      <c r="B8" s="1"/>
      <c r="C8" s="1"/>
      <c r="D8" s="1"/>
      <c r="E8" s="1"/>
      <c r="F8" s="1"/>
    </row>
    <row r="11" spans="1:8" ht="21.6" thickBot="1" x14ac:dyDescent="0.45">
      <c r="A11" s="7" t="s">
        <v>11</v>
      </c>
      <c r="B11" s="8">
        <v>2</v>
      </c>
      <c r="C11" s="7" t="s">
        <v>12</v>
      </c>
      <c r="D11" s="8"/>
      <c r="E11" s="9"/>
      <c r="F11" s="10"/>
    </row>
    <row r="12" spans="1:8" ht="16.2" thickBot="1" x14ac:dyDescent="0.35">
      <c r="A12" s="4" t="s">
        <v>1</v>
      </c>
      <c r="B12" s="5" t="s">
        <v>2</v>
      </c>
      <c r="C12" s="5" t="s">
        <v>10</v>
      </c>
      <c r="D12" s="5" t="s">
        <v>4</v>
      </c>
      <c r="E12" s="5" t="s">
        <v>5</v>
      </c>
      <c r="F12" s="6" t="s">
        <v>9</v>
      </c>
    </row>
    <row r="13" spans="1:8" x14ac:dyDescent="0.3">
      <c r="A13" s="3"/>
      <c r="B13" s="36"/>
      <c r="C13" s="3"/>
      <c r="D13" s="3"/>
      <c r="E13" s="3"/>
      <c r="F13" s="3"/>
    </row>
    <row r="14" spans="1:8" x14ac:dyDescent="0.3">
      <c r="A14" s="1"/>
      <c r="B14" s="1"/>
      <c r="C14" s="1"/>
      <c r="D14" s="1"/>
      <c r="E14" s="1"/>
      <c r="F14" s="1"/>
    </row>
    <row r="15" spans="1:8" x14ac:dyDescent="0.3">
      <c r="A15" s="1"/>
      <c r="B15" s="1"/>
      <c r="C15" s="1"/>
      <c r="D15" s="1"/>
      <c r="E15" s="1"/>
      <c r="F15" s="1"/>
    </row>
    <row r="16" spans="1:8" x14ac:dyDescent="0.3">
      <c r="A16" s="1"/>
      <c r="B16" s="1"/>
      <c r="C16" s="1"/>
      <c r="D16" s="1"/>
      <c r="E16" s="1"/>
      <c r="F16" s="1"/>
    </row>
    <row r="19" spans="1:6" ht="21.6" thickBot="1" x14ac:dyDescent="0.45">
      <c r="A19" s="7" t="s">
        <v>11</v>
      </c>
      <c r="B19" s="8">
        <v>3</v>
      </c>
      <c r="C19" s="7" t="s">
        <v>12</v>
      </c>
      <c r="D19" s="8"/>
      <c r="E19" s="9"/>
      <c r="F19" s="10"/>
    </row>
    <row r="20" spans="1:6" ht="16.2" thickBot="1" x14ac:dyDescent="0.35">
      <c r="A20" s="4" t="s">
        <v>1</v>
      </c>
      <c r="B20" s="5" t="s">
        <v>2</v>
      </c>
      <c r="C20" s="5" t="s">
        <v>10</v>
      </c>
      <c r="D20" s="5" t="s">
        <v>4</v>
      </c>
      <c r="E20" s="5" t="s">
        <v>5</v>
      </c>
      <c r="F20" s="6" t="s">
        <v>9</v>
      </c>
    </row>
    <row r="21" spans="1:6" x14ac:dyDescent="0.3">
      <c r="A21" s="3"/>
      <c r="B21" s="36"/>
      <c r="C21" s="3"/>
      <c r="D21" s="3"/>
      <c r="E21" s="3"/>
      <c r="F21" s="3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7" spans="1:6" ht="21.6" thickBot="1" x14ac:dyDescent="0.45">
      <c r="A27" s="7" t="s">
        <v>11</v>
      </c>
      <c r="B27" s="8">
        <v>4</v>
      </c>
      <c r="C27" s="7" t="s">
        <v>12</v>
      </c>
      <c r="D27" s="8"/>
      <c r="E27" s="9"/>
      <c r="F27" s="10"/>
    </row>
    <row r="28" spans="1:6" ht="16.2" thickBot="1" x14ac:dyDescent="0.35">
      <c r="A28" s="4" t="s">
        <v>1</v>
      </c>
      <c r="B28" s="5" t="s">
        <v>2</v>
      </c>
      <c r="C28" s="5" t="s">
        <v>10</v>
      </c>
      <c r="D28" s="5" t="s">
        <v>4</v>
      </c>
      <c r="E28" s="5" t="s">
        <v>5</v>
      </c>
      <c r="F28" s="6" t="s">
        <v>9</v>
      </c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5" spans="1:6" ht="21.6" thickBot="1" x14ac:dyDescent="0.45">
      <c r="A35" s="7" t="s">
        <v>11</v>
      </c>
      <c r="B35" s="8">
        <v>5</v>
      </c>
      <c r="C35" s="7" t="s">
        <v>12</v>
      </c>
      <c r="D35" s="8"/>
      <c r="E35" s="9"/>
      <c r="F35" s="10"/>
    </row>
    <row r="36" spans="1:6" ht="16.2" thickBot="1" x14ac:dyDescent="0.35">
      <c r="A36" s="4" t="s">
        <v>1</v>
      </c>
      <c r="B36" s="5" t="s">
        <v>2</v>
      </c>
      <c r="C36" s="5" t="s">
        <v>10</v>
      </c>
      <c r="D36" s="5" t="s">
        <v>4</v>
      </c>
      <c r="E36" s="5" t="s">
        <v>5</v>
      </c>
      <c r="F36" s="6" t="s">
        <v>9</v>
      </c>
    </row>
    <row r="37" spans="1:6" x14ac:dyDescent="0.3">
      <c r="A37" s="3"/>
      <c r="B37" s="36"/>
      <c r="C37" s="3"/>
      <c r="D37" s="3"/>
      <c r="E37" s="3"/>
      <c r="F37" s="3"/>
    </row>
    <row r="38" spans="1:6" x14ac:dyDescent="0.3">
      <c r="A38" s="1"/>
      <c r="B38" s="37"/>
      <c r="C38" s="1"/>
      <c r="D38" s="1"/>
      <c r="E38" s="1"/>
      <c r="F38" s="1"/>
    </row>
    <row r="39" spans="1:6" x14ac:dyDescent="0.3">
      <c r="A39" s="1"/>
      <c r="B39" s="37"/>
      <c r="C39" s="1"/>
      <c r="D39" s="1"/>
      <c r="E39" s="1"/>
      <c r="F39" s="1"/>
    </row>
    <row r="40" spans="1:6" x14ac:dyDescent="0.3">
      <c r="A40" s="1"/>
      <c r="B40" s="37"/>
      <c r="C40" s="1"/>
      <c r="D40" s="1"/>
      <c r="E40" s="1"/>
      <c r="F40" s="1"/>
    </row>
    <row r="43" spans="1:6" ht="21.6" thickBot="1" x14ac:dyDescent="0.45">
      <c r="A43" s="7" t="s">
        <v>11</v>
      </c>
      <c r="B43" s="8">
        <v>6</v>
      </c>
      <c r="C43" s="7" t="s">
        <v>12</v>
      </c>
      <c r="D43" s="8"/>
      <c r="E43" s="9"/>
      <c r="F43" s="10"/>
    </row>
    <row r="44" spans="1:6" ht="16.2" thickBot="1" x14ac:dyDescent="0.35">
      <c r="A44" s="4" t="s">
        <v>1</v>
      </c>
      <c r="B44" s="5" t="s">
        <v>2</v>
      </c>
      <c r="C44" s="5" t="s">
        <v>10</v>
      </c>
      <c r="D44" s="5" t="s">
        <v>4</v>
      </c>
      <c r="E44" s="5" t="s">
        <v>5</v>
      </c>
      <c r="F44" s="6" t="s">
        <v>9</v>
      </c>
    </row>
    <row r="45" spans="1:6" x14ac:dyDescent="0.3">
      <c r="A45" s="3">
        <v>3</v>
      </c>
      <c r="B45" s="36">
        <v>46120</v>
      </c>
      <c r="C45" s="3"/>
      <c r="D45" s="3"/>
      <c r="E45" s="3"/>
      <c r="F45" s="3"/>
    </row>
    <row r="46" spans="1:6" x14ac:dyDescent="0.3">
      <c r="A46" s="1">
        <v>4</v>
      </c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51" spans="1:6" ht="21.6" thickBot="1" x14ac:dyDescent="0.45">
      <c r="A51" s="7" t="s">
        <v>11</v>
      </c>
      <c r="B51" s="8">
        <v>7</v>
      </c>
      <c r="C51" s="7" t="s">
        <v>12</v>
      </c>
      <c r="D51" s="8"/>
      <c r="E51" s="9"/>
      <c r="F51" s="10"/>
    </row>
    <row r="52" spans="1:6" ht="16.2" thickBot="1" x14ac:dyDescent="0.35">
      <c r="A52" s="4" t="s">
        <v>1</v>
      </c>
      <c r="B52" s="5" t="s">
        <v>2</v>
      </c>
      <c r="C52" s="5" t="s">
        <v>10</v>
      </c>
      <c r="D52" s="5" t="s">
        <v>4</v>
      </c>
      <c r="E52" s="5" t="s">
        <v>5</v>
      </c>
      <c r="F52" s="6" t="s">
        <v>9</v>
      </c>
    </row>
    <row r="53" spans="1:6" x14ac:dyDescent="0.3">
      <c r="A53" s="3">
        <v>4</v>
      </c>
      <c r="B53" s="36">
        <v>46120</v>
      </c>
      <c r="C53" s="3"/>
      <c r="D53" s="3"/>
      <c r="E53" s="3"/>
      <c r="F53" s="3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9" spans="1:6" ht="21.6" thickBot="1" x14ac:dyDescent="0.45">
      <c r="A59" s="7" t="s">
        <v>11</v>
      </c>
      <c r="B59" s="8">
        <v>7</v>
      </c>
      <c r="C59" s="7" t="s">
        <v>12</v>
      </c>
      <c r="D59" s="8"/>
      <c r="E59" s="9"/>
      <c r="F59" s="10"/>
    </row>
    <row r="60" spans="1:6" ht="16.2" thickBot="1" x14ac:dyDescent="0.35">
      <c r="A60" s="4" t="s">
        <v>1</v>
      </c>
      <c r="B60" s="5" t="s">
        <v>2</v>
      </c>
      <c r="C60" s="5" t="s">
        <v>10</v>
      </c>
      <c r="D60" s="5" t="s">
        <v>4</v>
      </c>
      <c r="E60" s="5" t="s">
        <v>5</v>
      </c>
      <c r="F60" s="6" t="s">
        <v>9</v>
      </c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7" spans="1:6" ht="21.6" thickBot="1" x14ac:dyDescent="0.45">
      <c r="A67" s="7" t="s">
        <v>11</v>
      </c>
      <c r="B67" s="8">
        <v>8</v>
      </c>
      <c r="C67" s="7" t="s">
        <v>12</v>
      </c>
      <c r="D67" s="8"/>
      <c r="E67" s="9"/>
      <c r="F67" s="10"/>
    </row>
    <row r="68" spans="1:6" ht="16.2" thickBot="1" x14ac:dyDescent="0.35">
      <c r="A68" s="4" t="s">
        <v>1</v>
      </c>
      <c r="B68" s="5" t="s">
        <v>2</v>
      </c>
      <c r="C68" s="5" t="s">
        <v>10</v>
      </c>
      <c r="D68" s="5" t="s">
        <v>4</v>
      </c>
      <c r="E68" s="5" t="s">
        <v>5</v>
      </c>
      <c r="F68" s="6" t="s">
        <v>9</v>
      </c>
    </row>
    <row r="69" spans="1:6" x14ac:dyDescent="0.3">
      <c r="A69" s="3"/>
      <c r="B69" s="3"/>
      <c r="C69" s="3"/>
      <c r="D69" s="38"/>
      <c r="E69" s="3"/>
      <c r="F69" s="38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5" spans="1:6" ht="21.6" thickBot="1" x14ac:dyDescent="0.45">
      <c r="A75" s="7" t="s">
        <v>11</v>
      </c>
      <c r="B75" s="8">
        <v>9</v>
      </c>
      <c r="C75" s="7" t="s">
        <v>12</v>
      </c>
      <c r="D75" s="8"/>
      <c r="E75" s="9"/>
      <c r="F75" s="10"/>
    </row>
    <row r="76" spans="1:6" ht="16.2" thickBot="1" x14ac:dyDescent="0.35">
      <c r="A76" s="4" t="s">
        <v>1</v>
      </c>
      <c r="B76" s="5" t="s">
        <v>2</v>
      </c>
      <c r="C76" s="5" t="s">
        <v>10</v>
      </c>
      <c r="D76" s="5" t="s">
        <v>4</v>
      </c>
      <c r="E76" s="5" t="s">
        <v>5</v>
      </c>
      <c r="F76" s="6" t="s">
        <v>9</v>
      </c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3" spans="1:6" ht="21.6" thickBot="1" x14ac:dyDescent="0.45">
      <c r="A83" s="7" t="s">
        <v>11</v>
      </c>
      <c r="B83" s="8">
        <v>10</v>
      </c>
      <c r="C83" s="7" t="s">
        <v>12</v>
      </c>
      <c r="D83" s="8"/>
      <c r="E83" s="9"/>
      <c r="F83" s="10"/>
    </row>
    <row r="84" spans="1:6" ht="16.2" thickBot="1" x14ac:dyDescent="0.35">
      <c r="A84" s="4" t="s">
        <v>1</v>
      </c>
      <c r="B84" s="5" t="s">
        <v>2</v>
      </c>
      <c r="C84" s="5" t="s">
        <v>10</v>
      </c>
      <c r="D84" s="5" t="s">
        <v>4</v>
      </c>
      <c r="E84" s="5" t="s">
        <v>5</v>
      </c>
      <c r="F84" s="6" t="s">
        <v>9</v>
      </c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91" spans="1:6" ht="21.6" thickBot="1" x14ac:dyDescent="0.45">
      <c r="A91" s="7" t="s">
        <v>11</v>
      </c>
      <c r="B91" s="8"/>
      <c r="C91" s="7" t="s">
        <v>12</v>
      </c>
      <c r="D91" s="8"/>
      <c r="E91" s="9"/>
      <c r="F91" s="10"/>
    </row>
    <row r="92" spans="1:6" ht="16.2" thickBot="1" x14ac:dyDescent="0.35">
      <c r="A92" s="4" t="s">
        <v>1</v>
      </c>
      <c r="B92" s="5" t="s">
        <v>2</v>
      </c>
      <c r="C92" s="5" t="s">
        <v>10</v>
      </c>
      <c r="D92" s="5" t="s">
        <v>4</v>
      </c>
      <c r="E92" s="5" t="s">
        <v>5</v>
      </c>
      <c r="F92" s="6" t="s">
        <v>9</v>
      </c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9" spans="1:6" ht="21.6" thickBot="1" x14ac:dyDescent="0.45">
      <c r="A99" s="7" t="s">
        <v>11</v>
      </c>
      <c r="B99" s="8"/>
      <c r="C99" s="7" t="s">
        <v>12</v>
      </c>
      <c r="D99" s="8"/>
      <c r="E99" s="9"/>
      <c r="F99" s="10"/>
    </row>
    <row r="100" spans="1:6" ht="16.2" thickBot="1" x14ac:dyDescent="0.35">
      <c r="A100" s="4" t="s">
        <v>1</v>
      </c>
      <c r="B100" s="5" t="s">
        <v>2</v>
      </c>
      <c r="C100" s="5" t="s">
        <v>10</v>
      </c>
      <c r="D100" s="5" t="s">
        <v>4</v>
      </c>
      <c r="E100" s="5" t="s">
        <v>5</v>
      </c>
      <c r="F100" s="6" t="s">
        <v>9</v>
      </c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</sheetData>
  <mergeCells count="1">
    <mergeCell ref="A1:E1"/>
  </mergeCells>
  <pageMargins left="0.7" right="0.7" top="0.75" bottom="0.75" header="0.3" footer="0.3"/>
  <pageSetup paperSize="1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topLeftCell="A4" workbookViewId="0">
      <selection activeCell="K19" sqref="K19:K25"/>
    </sheetView>
  </sheetViews>
  <sheetFormatPr defaultColWidth="10.90625" defaultRowHeight="15.6" x14ac:dyDescent="0.3"/>
  <cols>
    <col min="2" max="2" width="26.36328125" customWidth="1"/>
    <col min="7" max="7" width="13.453125" customWidth="1"/>
    <col min="8" max="8" width="13.81640625" customWidth="1"/>
    <col min="9" max="9" width="14.90625" bestFit="1" customWidth="1"/>
    <col min="10" max="10" width="15.6328125" customWidth="1"/>
  </cols>
  <sheetData>
    <row r="1" spans="1:12" ht="21" x14ac:dyDescent="0.4">
      <c r="A1" s="11" t="s">
        <v>13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</row>
    <row r="2" spans="1:12" ht="16.2" thickBot="1" x14ac:dyDescent="0.35"/>
    <row r="3" spans="1:12" ht="16.2" thickBot="1" x14ac:dyDescent="0.35">
      <c r="A3" s="56" t="s">
        <v>14</v>
      </c>
      <c r="B3" s="56" t="s">
        <v>15</v>
      </c>
      <c r="C3" s="58" t="s">
        <v>16</v>
      </c>
      <c r="D3" s="59"/>
      <c r="E3" s="60" t="s">
        <v>17</v>
      </c>
      <c r="F3" s="61"/>
      <c r="G3" s="54" t="s">
        <v>20</v>
      </c>
      <c r="H3" s="55"/>
      <c r="I3" s="54" t="s">
        <v>21</v>
      </c>
      <c r="J3" s="55"/>
    </row>
    <row r="4" spans="1:12" ht="16.2" thickBot="1" x14ac:dyDescent="0.35">
      <c r="A4" s="57"/>
      <c r="B4" s="57"/>
      <c r="C4" s="13" t="s">
        <v>4</v>
      </c>
      <c r="D4" s="14" t="s">
        <v>5</v>
      </c>
      <c r="E4" s="13" t="s">
        <v>18</v>
      </c>
      <c r="F4" s="14" t="s">
        <v>19</v>
      </c>
      <c r="G4" s="39" t="s">
        <v>22</v>
      </c>
      <c r="H4" s="39" t="s">
        <v>23</v>
      </c>
      <c r="I4" s="40" t="s">
        <v>24</v>
      </c>
      <c r="J4" s="39" t="s">
        <v>25</v>
      </c>
    </row>
    <row r="5" spans="1:12" x14ac:dyDescent="0.3">
      <c r="A5" s="3">
        <v>1</v>
      </c>
      <c r="B5" s="3"/>
      <c r="C5" s="15"/>
      <c r="D5" s="15"/>
      <c r="E5" s="15"/>
      <c r="F5" s="15"/>
      <c r="G5" s="15"/>
      <c r="H5" s="15"/>
      <c r="I5" s="15"/>
      <c r="J5" s="15"/>
    </row>
    <row r="6" spans="1:12" x14ac:dyDescent="0.3">
      <c r="A6" s="1">
        <v>2</v>
      </c>
      <c r="B6" s="1"/>
      <c r="C6" s="16"/>
      <c r="D6" s="16"/>
      <c r="E6" s="16"/>
      <c r="F6" s="16"/>
      <c r="G6" s="16"/>
      <c r="H6" s="16"/>
      <c r="I6" s="16"/>
      <c r="J6" s="15"/>
    </row>
    <row r="7" spans="1:12" x14ac:dyDescent="0.3">
      <c r="A7" s="1">
        <v>3</v>
      </c>
      <c r="B7" s="1"/>
      <c r="C7" s="16"/>
      <c r="D7" s="16"/>
      <c r="E7" s="16"/>
      <c r="F7" s="16"/>
      <c r="G7" s="16"/>
      <c r="H7" s="16"/>
      <c r="I7" s="16"/>
      <c r="J7" s="15"/>
    </row>
    <row r="8" spans="1:12" x14ac:dyDescent="0.3">
      <c r="A8" s="1">
        <v>4</v>
      </c>
      <c r="B8" s="1"/>
      <c r="C8" s="16"/>
      <c r="D8" s="16"/>
      <c r="E8" s="16"/>
      <c r="F8" s="16"/>
      <c r="G8" s="16"/>
      <c r="H8" s="16"/>
      <c r="I8" s="16"/>
      <c r="J8" s="15"/>
    </row>
    <row r="9" spans="1:12" x14ac:dyDescent="0.3">
      <c r="A9" s="1">
        <v>5</v>
      </c>
      <c r="B9" s="1"/>
      <c r="C9" s="16"/>
      <c r="D9" s="16"/>
      <c r="E9" s="16"/>
      <c r="F9" s="16"/>
      <c r="G9" s="16"/>
      <c r="H9" s="16"/>
      <c r="I9" s="16"/>
      <c r="J9" s="15"/>
    </row>
    <row r="10" spans="1:12" x14ac:dyDescent="0.3">
      <c r="A10" s="1">
        <v>6</v>
      </c>
      <c r="B10" s="1"/>
      <c r="C10" s="16"/>
      <c r="D10" s="16"/>
      <c r="E10" s="16"/>
      <c r="F10" s="16"/>
      <c r="G10" s="16"/>
      <c r="H10" s="16"/>
      <c r="I10" s="16"/>
      <c r="J10" s="15"/>
    </row>
    <row r="11" spans="1:12" x14ac:dyDescent="0.3">
      <c r="A11" s="1">
        <v>7</v>
      </c>
      <c r="B11" s="1"/>
      <c r="C11" s="16"/>
      <c r="D11" s="16"/>
      <c r="E11" s="16"/>
      <c r="F11" s="16"/>
      <c r="G11" s="16"/>
      <c r="H11" s="16"/>
      <c r="I11" s="16"/>
      <c r="J11" s="15"/>
    </row>
    <row r="12" spans="1:12" x14ac:dyDescent="0.3">
      <c r="A12" s="1">
        <v>8</v>
      </c>
      <c r="B12" s="1"/>
      <c r="C12" s="16"/>
      <c r="D12" s="16"/>
      <c r="E12" s="16"/>
      <c r="F12" s="16"/>
      <c r="G12" s="16"/>
      <c r="H12" s="16"/>
      <c r="I12" s="16"/>
      <c r="J12" s="15"/>
    </row>
    <row r="13" spans="1:12" x14ac:dyDescent="0.3">
      <c r="A13" s="1">
        <v>9</v>
      </c>
      <c r="B13" s="1"/>
      <c r="C13" s="16"/>
      <c r="D13" s="16"/>
      <c r="E13" s="16"/>
      <c r="F13" s="16"/>
      <c r="G13" s="16"/>
      <c r="H13" s="16"/>
      <c r="I13" s="16"/>
      <c r="J13" s="15"/>
    </row>
    <row r="14" spans="1:12" x14ac:dyDescent="0.3">
      <c r="A14" s="1">
        <v>10</v>
      </c>
      <c r="B14" s="1"/>
      <c r="C14" s="16"/>
      <c r="D14" s="16"/>
      <c r="E14" s="16"/>
      <c r="F14" s="16"/>
      <c r="G14" s="16"/>
      <c r="H14" s="16"/>
      <c r="I14" s="16"/>
      <c r="J14" s="15"/>
    </row>
    <row r="15" spans="1:12" x14ac:dyDescent="0.3">
      <c r="A15" s="1">
        <v>11</v>
      </c>
      <c r="B15" s="1"/>
      <c r="C15" s="16"/>
      <c r="D15" s="16"/>
      <c r="E15" s="16"/>
      <c r="F15" s="16"/>
      <c r="G15" s="16"/>
      <c r="H15" s="16"/>
      <c r="I15" s="16"/>
      <c r="J15" s="15"/>
    </row>
    <row r="16" spans="1:12" x14ac:dyDescent="0.3">
      <c r="A16" s="1">
        <v>12</v>
      </c>
      <c r="B16" s="1"/>
      <c r="C16" s="16"/>
      <c r="D16" s="16"/>
      <c r="E16" s="16"/>
      <c r="F16" s="16"/>
      <c r="G16" s="16"/>
      <c r="H16" s="16"/>
      <c r="I16" s="16"/>
      <c r="J16" s="15"/>
    </row>
    <row r="17" spans="1:10" x14ac:dyDescent="0.3">
      <c r="A17" s="1">
        <v>13</v>
      </c>
      <c r="B17" s="1"/>
      <c r="C17" s="16"/>
      <c r="D17" s="16"/>
      <c r="E17" s="16"/>
      <c r="F17" s="16"/>
      <c r="G17" s="16"/>
      <c r="H17" s="16"/>
      <c r="I17" s="16"/>
      <c r="J17" s="15"/>
    </row>
    <row r="18" spans="1:10" x14ac:dyDescent="0.3">
      <c r="A18" s="1">
        <v>14</v>
      </c>
      <c r="B18" s="1"/>
      <c r="C18" s="16"/>
      <c r="D18" s="16"/>
      <c r="E18" s="16"/>
      <c r="F18" s="16"/>
      <c r="G18" s="16"/>
      <c r="H18" s="16"/>
      <c r="I18" s="16"/>
      <c r="J18" s="15"/>
    </row>
    <row r="19" spans="1:10" x14ac:dyDescent="0.3">
      <c r="A19" s="1">
        <v>15</v>
      </c>
      <c r="B19" s="1"/>
      <c r="C19" s="16"/>
      <c r="D19" s="16"/>
      <c r="E19" s="16"/>
      <c r="F19" s="16"/>
      <c r="G19" s="16"/>
      <c r="H19" s="16"/>
      <c r="I19" s="16"/>
      <c r="J19" s="15"/>
    </row>
    <row r="20" spans="1:10" x14ac:dyDescent="0.3">
      <c r="A20" s="1">
        <v>16</v>
      </c>
      <c r="B20" s="1"/>
      <c r="C20" s="16"/>
      <c r="D20" s="16"/>
      <c r="E20" s="16"/>
      <c r="F20" s="16"/>
      <c r="G20" s="16"/>
      <c r="H20" s="16"/>
      <c r="I20" s="16"/>
      <c r="J20" s="15"/>
    </row>
    <row r="21" spans="1:10" x14ac:dyDescent="0.3">
      <c r="A21" s="1">
        <v>17</v>
      </c>
      <c r="B21" s="1"/>
      <c r="C21" s="16"/>
      <c r="D21" s="16"/>
      <c r="E21" s="16"/>
      <c r="F21" s="16"/>
      <c r="G21" s="16"/>
      <c r="H21" s="16"/>
      <c r="I21" s="16"/>
      <c r="J21" s="15"/>
    </row>
    <row r="22" spans="1:10" x14ac:dyDescent="0.3">
      <c r="A22" s="1"/>
      <c r="B22" s="17"/>
      <c r="C22" s="44"/>
      <c r="D22" s="44"/>
      <c r="E22" s="43"/>
      <c r="F22" s="43"/>
      <c r="G22" s="42"/>
      <c r="H22" s="42"/>
      <c r="I22" s="42"/>
      <c r="J22" s="42"/>
    </row>
    <row r="23" spans="1:10" x14ac:dyDescent="0.3">
      <c r="A23" s="1"/>
      <c r="B23" s="1"/>
      <c r="C23" s="1"/>
      <c r="D23" s="1"/>
      <c r="E23" s="1"/>
      <c r="F23" s="1"/>
      <c r="G23" s="41"/>
      <c r="H23" s="41"/>
      <c r="I23" s="41"/>
      <c r="J23" s="41"/>
    </row>
    <row r="24" spans="1:10" x14ac:dyDescent="0.3">
      <c r="A24" s="1"/>
      <c r="B24" s="17"/>
      <c r="C24" s="41"/>
      <c r="D24" s="41"/>
      <c r="E24" s="41"/>
      <c r="F24" s="41"/>
      <c r="G24" s="41"/>
      <c r="H24" s="41"/>
      <c r="I24" s="41"/>
      <c r="J24" s="41"/>
    </row>
    <row r="26" spans="1:10" x14ac:dyDescent="0.3">
      <c r="D26" s="45"/>
    </row>
    <row r="27" spans="1:10" x14ac:dyDescent="0.3">
      <c r="D27" s="45"/>
    </row>
  </sheetData>
  <mergeCells count="6">
    <mergeCell ref="G3:H3"/>
    <mergeCell ref="I3:J3"/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BG _ER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Gustavo Lesme</cp:lastModifiedBy>
  <dcterms:created xsi:type="dcterms:W3CDTF">2025-04-15T12:33:19Z</dcterms:created>
  <dcterms:modified xsi:type="dcterms:W3CDTF">2026-06-24T06:20:42Z</dcterms:modified>
</cp:coreProperties>
</file>