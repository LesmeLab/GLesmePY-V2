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B:\IIN\4Sem\Repositorio\GLesmePY-V2\CuartoSemestre\Contabilidad\"/>
    </mc:Choice>
  </mc:AlternateContent>
  <xr:revisionPtr revIDLastSave="0" documentId="13_ncr:1_{27440715-1C93-488D-9EA2-EA18B73BFC4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LIBRO DIARIO" sheetId="1" r:id="rId1"/>
    <sheet name="LIBRO MAYOR" sheetId="2" r:id="rId2"/>
    <sheet name="BG _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3" l="1"/>
  <c r="H24" i="3"/>
  <c r="I25" i="3"/>
  <c r="I24" i="3"/>
  <c r="I22" i="3"/>
  <c r="I21" i="3"/>
  <c r="H20" i="3"/>
  <c r="I19" i="3"/>
  <c r="I18" i="3"/>
  <c r="I17" i="3"/>
  <c r="H16" i="3"/>
  <c r="G14" i="3"/>
  <c r="H13" i="3"/>
  <c r="G12" i="3"/>
  <c r="H11" i="3"/>
  <c r="G10" i="3"/>
  <c r="G9" i="3"/>
  <c r="I8" i="3"/>
  <c r="H6" i="3"/>
  <c r="G5" i="3"/>
  <c r="J59" i="1"/>
  <c r="I59" i="1"/>
  <c r="F22" i="3"/>
  <c r="D22" i="3"/>
  <c r="B22" i="3"/>
  <c r="E21" i="3"/>
  <c r="C21" i="3"/>
  <c r="F20" i="3"/>
  <c r="D20" i="3"/>
  <c r="B20" i="3"/>
  <c r="E19" i="3"/>
  <c r="C19" i="3"/>
  <c r="B19" i="3"/>
  <c r="E18" i="3"/>
  <c r="C18" i="3"/>
  <c r="B18" i="3"/>
  <c r="E17" i="3"/>
  <c r="C17" i="3"/>
  <c r="B17" i="3"/>
  <c r="D16" i="3"/>
  <c r="F16" i="3" s="1"/>
  <c r="B16" i="3"/>
  <c r="B15" i="3"/>
  <c r="C14" i="3"/>
  <c r="E14" i="3" s="1"/>
  <c r="B14" i="3"/>
  <c r="F13" i="3"/>
  <c r="D13" i="3"/>
  <c r="B13" i="3"/>
  <c r="C12" i="3"/>
  <c r="E12" i="3" s="1"/>
  <c r="B12" i="3"/>
  <c r="F11" i="3"/>
  <c r="D11" i="3"/>
  <c r="C11" i="3"/>
  <c r="B11" i="3"/>
  <c r="C10" i="3"/>
  <c r="B10" i="3"/>
  <c r="E9" i="3"/>
  <c r="D9" i="3"/>
  <c r="C9" i="3"/>
  <c r="E8" i="3"/>
  <c r="C8" i="3"/>
  <c r="B8" i="3"/>
  <c r="D7" i="3"/>
  <c r="B7" i="3"/>
  <c r="D6" i="3"/>
  <c r="F6" i="3" s="1"/>
  <c r="E5" i="3"/>
  <c r="D5" i="3"/>
  <c r="C5" i="3"/>
  <c r="A144" i="2"/>
  <c r="B144" i="2"/>
  <c r="E144" i="2"/>
  <c r="C144" i="2"/>
  <c r="D139" i="2"/>
  <c r="F138" i="2"/>
  <c r="F136" i="2"/>
  <c r="D136" i="2"/>
  <c r="A136" i="2"/>
  <c r="B136" i="2"/>
  <c r="C136" i="2"/>
  <c r="E131" i="2"/>
  <c r="F130" i="2"/>
  <c r="F128" i="2"/>
  <c r="A128" i="2"/>
  <c r="B128" i="2"/>
  <c r="E128" i="2"/>
  <c r="C128" i="2"/>
  <c r="D123" i="2"/>
  <c r="F122" i="2"/>
  <c r="F120" i="2"/>
  <c r="B120" i="2"/>
  <c r="D120" i="2"/>
  <c r="C120" i="2"/>
  <c r="D115" i="2"/>
  <c r="F114" i="2"/>
  <c r="F112" i="2"/>
  <c r="A112" i="2"/>
  <c r="B112" i="2"/>
  <c r="D112" i="2"/>
  <c r="C112" i="2"/>
  <c r="D107" i="2"/>
  <c r="F106" i="2"/>
  <c r="F104" i="2"/>
  <c r="B104" i="2"/>
  <c r="D104" i="2"/>
  <c r="C104" i="2"/>
  <c r="E99" i="2"/>
  <c r="F98" i="2"/>
  <c r="F96" i="2"/>
  <c r="E96" i="2"/>
  <c r="B96" i="2"/>
  <c r="C96" i="2"/>
  <c r="B88" i="2"/>
  <c r="E88" i="2"/>
  <c r="D15" i="3" s="1"/>
  <c r="F15" i="3" s="1"/>
  <c r="J15" i="3" s="1"/>
  <c r="J23" i="3" s="1"/>
  <c r="C88" i="2"/>
  <c r="D83" i="2"/>
  <c r="F83" i="2"/>
  <c r="F80" i="2"/>
  <c r="B80" i="2"/>
  <c r="C80" i="2"/>
  <c r="D80" i="2"/>
  <c r="D78" i="2"/>
  <c r="F75" i="2"/>
  <c r="E75" i="2"/>
  <c r="F72" i="2"/>
  <c r="B72" i="2"/>
  <c r="E72" i="2"/>
  <c r="C72" i="2"/>
  <c r="F67" i="2"/>
  <c r="D67" i="2"/>
  <c r="F64" i="2"/>
  <c r="F51" i="2"/>
  <c r="D52" i="2"/>
  <c r="C51" i="2"/>
  <c r="B64" i="2"/>
  <c r="D64" i="2"/>
  <c r="C64" i="2"/>
  <c r="E59" i="2"/>
  <c r="D59" i="2"/>
  <c r="F57" i="2"/>
  <c r="F56" i="2"/>
  <c r="A57" i="2"/>
  <c r="C57" i="2"/>
  <c r="B57" i="2"/>
  <c r="D57" i="2"/>
  <c r="B56" i="2"/>
  <c r="C56" i="2"/>
  <c r="E56" i="2"/>
  <c r="F50" i="2"/>
  <c r="F49" i="2"/>
  <c r="F48" i="2"/>
  <c r="B50" i="2"/>
  <c r="C50" i="2"/>
  <c r="D50" i="2"/>
  <c r="C49" i="2"/>
  <c r="D49" i="2"/>
  <c r="A48" i="2"/>
  <c r="B48" i="2"/>
  <c r="C48" i="2"/>
  <c r="D48" i="2"/>
  <c r="D46" i="2"/>
  <c r="D44" i="2"/>
  <c r="E44" i="2"/>
  <c r="F43" i="2"/>
  <c r="F41" i="2"/>
  <c r="F40" i="2"/>
  <c r="A41" i="2"/>
  <c r="B41" i="2"/>
  <c r="C41" i="2"/>
  <c r="E41" i="2"/>
  <c r="B40" i="2"/>
  <c r="C40" i="2"/>
  <c r="D40" i="2"/>
  <c r="D38" i="2"/>
  <c r="D35" i="2"/>
  <c r="F35" i="2"/>
  <c r="F32" i="2"/>
  <c r="A32" i="2"/>
  <c r="B32" i="2"/>
  <c r="C32" i="2"/>
  <c r="D32" i="2"/>
  <c r="D30" i="2"/>
  <c r="E28" i="2"/>
  <c r="D28" i="2"/>
  <c r="C7" i="3" s="1"/>
  <c r="F24" i="2"/>
  <c r="F23" i="2"/>
  <c r="F22" i="2"/>
  <c r="F21" i="2"/>
  <c r="B27" i="2"/>
  <c r="E27" i="2"/>
  <c r="C27" i="2"/>
  <c r="B26" i="2"/>
  <c r="E26" i="2"/>
  <c r="C26" i="2"/>
  <c r="B25" i="2"/>
  <c r="D25" i="2"/>
  <c r="F25" i="2" s="1"/>
  <c r="F26" i="2" s="1"/>
  <c r="F27" i="2" s="1"/>
  <c r="E7" i="3" s="1"/>
  <c r="G7" i="3" s="1"/>
  <c r="C25" i="2"/>
  <c r="E24" i="2"/>
  <c r="C24" i="2"/>
  <c r="B23" i="2"/>
  <c r="E23" i="2"/>
  <c r="C23" i="2"/>
  <c r="B22" i="2"/>
  <c r="E22" i="2"/>
  <c r="C22" i="2"/>
  <c r="C21" i="2"/>
  <c r="A21" i="2"/>
  <c r="B21" i="2"/>
  <c r="D21" i="2"/>
  <c r="D19" i="2"/>
  <c r="E13" i="2"/>
  <c r="E16" i="2" s="1"/>
  <c r="C13" i="2"/>
  <c r="B6" i="2"/>
  <c r="E6" i="2"/>
  <c r="E7" i="2" s="1"/>
  <c r="C6" i="2"/>
  <c r="B5" i="2"/>
  <c r="B13" i="2" s="1"/>
  <c r="D5" i="2"/>
  <c r="D7" i="2" s="1"/>
  <c r="C5" i="2"/>
  <c r="F88" i="2" l="1"/>
  <c r="F91" i="2" s="1"/>
  <c r="E91" i="2" s="1"/>
  <c r="I23" i="3"/>
  <c r="H23" i="3"/>
  <c r="G23" i="3"/>
  <c r="C23" i="3"/>
  <c r="E10" i="3"/>
  <c r="F23" i="3"/>
  <c r="D23" i="3"/>
  <c r="E23" i="3"/>
  <c r="F13" i="2"/>
  <c r="F16" i="2" s="1"/>
  <c r="F5" i="2"/>
  <c r="F6" i="2" s="1"/>
</calcChain>
</file>

<file path=xl/sharedStrings.xml><?xml version="1.0" encoding="utf-8"?>
<sst xmlns="http://schemas.openxmlformats.org/spreadsheetml/2006/main" count="233" uniqueCount="60">
  <si>
    <t>LIBRO DIARIO</t>
  </si>
  <si>
    <t>NRO</t>
  </si>
  <si>
    <t>FECHA</t>
  </si>
  <si>
    <t>CUENTAS CONTABLES</t>
  </si>
  <si>
    <t>DEBE</t>
  </si>
  <si>
    <t>HABER</t>
  </si>
  <si>
    <t>Cálculo Auxiliar en Esquema T</t>
  </si>
  <si>
    <t>FORMATO DEL LIBRO DIARIO</t>
  </si>
  <si>
    <t>FORMATO DEL LIBRO MAYOR</t>
  </si>
  <si>
    <t>SALDO</t>
  </si>
  <si>
    <t>DESCRIPCIÓN</t>
  </si>
  <si>
    <t xml:space="preserve">FOLIO: </t>
  </si>
  <si>
    <t>CUENTA:</t>
  </si>
  <si>
    <t>BALANCE DE COMPROBACIÓN DE SUMAS Y SALDOS - BALANCE GENERAL &amp; ESTADO DE RESULTADOS</t>
  </si>
  <si>
    <t>Nro.</t>
  </si>
  <si>
    <t>CUENTA CONTABLE</t>
  </si>
  <si>
    <t>SUMAS</t>
  </si>
  <si>
    <t>SALDOS</t>
  </si>
  <si>
    <t>DEUDOR</t>
  </si>
  <si>
    <t>ACREEDOR</t>
  </si>
  <si>
    <t>BALANCE GENERAL</t>
  </si>
  <si>
    <t>ESTADO DE RESULTADOS</t>
  </si>
  <si>
    <t>ACTIVO</t>
  </si>
  <si>
    <t>PASIVO/PN</t>
  </si>
  <si>
    <t>RES. NEGATIVO</t>
  </si>
  <si>
    <t>RES. POSITIVO</t>
  </si>
  <si>
    <t>CAJA</t>
  </si>
  <si>
    <t>CAPITAL</t>
  </si>
  <si>
    <t>ASIENTO DE APERTURA DE LA EMPRESA</t>
  </si>
  <si>
    <t>WW - UNIPERSONAL</t>
  </si>
  <si>
    <t>BANCO X CTA CTE</t>
  </si>
  <si>
    <t>DEPOSITO EN CTA CTE SEGÚN BOLETA</t>
  </si>
  <si>
    <t>IMPUESTOS, TASAS Y PATENTES</t>
  </si>
  <si>
    <t>PAGO DE PATENTE COMERCIAL SEGÚN</t>
  </si>
  <si>
    <t>COMPROBANTE DE INGRESO</t>
  </si>
  <si>
    <t>MERCADERIAS</t>
  </si>
  <si>
    <t>IVA CF 10%</t>
  </si>
  <si>
    <t>PROVEEDORES</t>
  </si>
  <si>
    <t>COMPRA DE 3 GENERADORES A GS.11.000.000 C/U SEGÚN F.CREDITO.</t>
  </si>
  <si>
    <t>MUEBLES Y EQUIPOS</t>
  </si>
  <si>
    <t>ACREEDORES VARIOS</t>
  </si>
  <si>
    <t>COMPRA DE MOBILIARIOS PARA USO EN EL LOCAL</t>
  </si>
  <si>
    <t>EQUIPOS DE INFORMATICA</t>
  </si>
  <si>
    <t>COMPRA DE COMPUTADORA PARA USO DE LA EMPRESA SEGÚN FACTURA CONTADO</t>
  </si>
  <si>
    <t>VENTA DE MERCADERIAS</t>
  </si>
  <si>
    <t>IVA DF 10%</t>
  </si>
  <si>
    <t>VENTA DE 2 GENERADORES A GS. 20.000.000 C/U SEGÚN FACTURA</t>
  </si>
  <si>
    <t>COSTO DE MERCADERIAS</t>
  </si>
  <si>
    <t>COSTEO SEGÚN INFORME DEPOSITO</t>
  </si>
  <si>
    <t>SUELDOS Y JORNALES</t>
  </si>
  <si>
    <t>APORTE PATRONAL</t>
  </si>
  <si>
    <t>IPS A PAGAR</t>
  </si>
  <si>
    <t>PAGO DE SALARIO AL PERSONAL</t>
  </si>
  <si>
    <t>HONORARIOS PROFESIONALES</t>
  </si>
  <si>
    <t>HONORARIOS A PAGAR</t>
  </si>
  <si>
    <t>PAGO DE HONROARIOS AL ABOGADO DE LA EMPRESA SEGÚN FACTURA</t>
  </si>
  <si>
    <t>PAGO PARCIAL POR LA DEUDA DE MERCADERIAS COMPRADAS EL 04/05</t>
  </si>
  <si>
    <t>#Error</t>
  </si>
  <si>
    <t>#se modificara para que se pueda proseguir</t>
  </si>
  <si>
    <t>#debe de ser 44.000.000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</si>
</sst>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₲&quot;\ * #,##0_ ;_ &quot;₲&quot;\ * \-#,##0_ ;_ &quot;₲&quot;\ * &quot;-&quot;_ ;_ @_ "/>
    <numFmt numFmtId="41" formatCode="_ * #,##0_ ;_ * \-#,##0_ ;_ * &quot;-&quot;_ ;_ @_ "/>
  </numFmts>
  <fonts count="10" x14ac:knownFonts="1"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16"/>
      <color theme="1"/>
      <name val="Aptos"/>
      <family val="2"/>
    </font>
    <font>
      <sz val="12"/>
      <color theme="1"/>
      <name val="Aptos"/>
      <family val="2"/>
    </font>
    <font>
      <b/>
      <i/>
      <sz val="16"/>
      <color theme="1"/>
      <name val="Aptos"/>
      <family val="2"/>
    </font>
    <font>
      <i/>
      <sz val="12"/>
      <color theme="1"/>
      <name val="Aptos"/>
      <family val="2"/>
    </font>
    <font>
      <b/>
      <sz val="12"/>
      <color theme="1"/>
      <name val="Aptos"/>
      <family val="2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b/>
      <i/>
      <sz val="11"/>
      <color theme="1"/>
      <name val="Consolas"/>
      <family val="3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</cellStyleXfs>
  <cellXfs count="81">
    <xf numFmtId="0" fontId="0" fillId="0" borderId="0" xfId="0"/>
    <xf numFmtId="0" fontId="0" fillId="0" borderId="1" xfId="0" applyBorder="1"/>
    <xf numFmtId="0" fontId="2" fillId="6" borderId="0" xfId="0" applyFont="1" applyFill="1" applyAlignment="1">
      <alignment horizontal="center"/>
    </xf>
    <xf numFmtId="0" fontId="0" fillId="0" borderId="10" xfId="0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4" fillId="6" borderId="0" xfId="0" applyFont="1" applyFill="1" applyAlignment="1">
      <alignment horizontal="right"/>
    </xf>
    <xf numFmtId="0" fontId="4" fillId="6" borderId="0" xfId="0" applyFont="1" applyFill="1" applyAlignment="1">
      <alignment horizontal="left"/>
    </xf>
    <xf numFmtId="0" fontId="4" fillId="6" borderId="0" xfId="0" applyFont="1" applyFill="1" applyAlignment="1">
      <alignment horizontal="center"/>
    </xf>
    <xf numFmtId="0" fontId="5" fillId="0" borderId="0" xfId="0" applyFont="1"/>
    <xf numFmtId="0" fontId="2" fillId="4" borderId="0" xfId="0" applyFont="1" applyFill="1"/>
    <xf numFmtId="0" fontId="0" fillId="4" borderId="0" xfId="0" applyFill="1"/>
    <xf numFmtId="0" fontId="6" fillId="0" borderId="2" xfId="0" applyFont="1" applyBorder="1"/>
    <xf numFmtId="0" fontId="6" fillId="0" borderId="8" xfId="0" applyFont="1" applyBorder="1"/>
    <xf numFmtId="41" fontId="0" fillId="0" borderId="1" xfId="1" applyFont="1" applyBorder="1"/>
    <xf numFmtId="0" fontId="6" fillId="0" borderId="1" xfId="0" applyFont="1" applyBorder="1"/>
    <xf numFmtId="0" fontId="7" fillId="3" borderId="0" xfId="0" applyFont="1" applyFill="1"/>
    <xf numFmtId="42" fontId="8" fillId="3" borderId="0" xfId="2" applyFont="1" applyFill="1"/>
    <xf numFmtId="0" fontId="8" fillId="3" borderId="0" xfId="0" applyFont="1" applyFill="1"/>
    <xf numFmtId="0" fontId="8" fillId="0" borderId="0" xfId="0" applyFont="1"/>
    <xf numFmtId="42" fontId="8" fillId="0" borderId="0" xfId="2" applyFont="1"/>
    <xf numFmtId="0" fontId="7" fillId="0" borderId="1" xfId="0" applyFont="1" applyBorder="1"/>
    <xf numFmtId="42" fontId="7" fillId="0" borderId="1" xfId="2" applyFont="1" applyBorder="1"/>
    <xf numFmtId="0" fontId="8" fillId="0" borderId="5" xfId="0" applyFont="1" applyBorder="1"/>
    <xf numFmtId="0" fontId="8" fillId="7" borderId="5" xfId="0" applyFont="1" applyFill="1" applyBorder="1"/>
    <xf numFmtId="42" fontId="7" fillId="0" borderId="0" xfId="2" applyFont="1"/>
    <xf numFmtId="0" fontId="8" fillId="9" borderId="5" xfId="0" applyFont="1" applyFill="1" applyBorder="1"/>
    <xf numFmtId="9" fontId="8" fillId="0" borderId="0" xfId="2" applyNumberFormat="1" applyFont="1"/>
    <xf numFmtId="0" fontId="1" fillId="5" borderId="0" xfId="0" applyFont="1" applyFill="1"/>
    <xf numFmtId="14" fontId="0" fillId="0" borderId="10" xfId="0" applyNumberFormat="1" applyBorder="1"/>
    <xf numFmtId="14" fontId="0" fillId="0" borderId="1" xfId="0" applyNumberFormat="1" applyBorder="1"/>
    <xf numFmtId="42" fontId="0" fillId="0" borderId="10" xfId="0" applyNumberFormat="1" applyBorder="1"/>
    <xf numFmtId="0" fontId="6" fillId="3" borderId="8" xfId="0" applyFont="1" applyFill="1" applyBorder="1"/>
    <xf numFmtId="0" fontId="6" fillId="3" borderId="2" xfId="0" applyFont="1" applyFill="1" applyBorder="1"/>
    <xf numFmtId="41" fontId="0" fillId="0" borderId="1" xfId="0" applyNumberFormat="1" applyBorder="1"/>
    <xf numFmtId="41" fontId="0" fillId="3" borderId="1" xfId="0" applyNumberFormat="1" applyFill="1" applyBorder="1"/>
    <xf numFmtId="41" fontId="0" fillId="0" borderId="0" xfId="0" applyNumberFormat="1"/>
    <xf numFmtId="0" fontId="7" fillId="0" borderId="0" xfId="0" applyFont="1" applyAlignment="1">
      <alignment horizontal="left" wrapText="1"/>
    </xf>
    <xf numFmtId="0" fontId="7" fillId="4" borderId="7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11" borderId="14" xfId="0" applyFont="1" applyFill="1" applyBorder="1" applyAlignment="1">
      <alignment horizontal="center"/>
    </xf>
    <xf numFmtId="0" fontId="6" fillId="11" borderId="15" xfId="0" applyFont="1" applyFill="1" applyBorder="1" applyAlignment="1">
      <alignment horizontal="center"/>
    </xf>
    <xf numFmtId="0" fontId="6" fillId="10" borderId="14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16" fontId="8" fillId="0" borderId="0" xfId="0" applyNumberFormat="1" applyFont="1"/>
    <xf numFmtId="0" fontId="7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8" borderId="0" xfId="0" applyFont="1" applyFill="1"/>
    <xf numFmtId="42" fontId="8" fillId="8" borderId="0" xfId="2" applyFont="1" applyFill="1"/>
    <xf numFmtId="16" fontId="0" fillId="0" borderId="10" xfId="0" applyNumberFormat="1" applyBorder="1"/>
    <xf numFmtId="0" fontId="8" fillId="12" borderId="0" xfId="0" applyFont="1" applyFill="1"/>
    <xf numFmtId="42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42" fontId="0" fillId="0" borderId="0" xfId="0" applyNumberFormat="1"/>
    <xf numFmtId="42" fontId="0" fillId="0" borderId="10" xfId="2" applyFont="1" applyBorder="1"/>
    <xf numFmtId="42" fontId="0" fillId="0" borderId="1" xfId="2" applyFont="1" applyBorder="1"/>
    <xf numFmtId="42" fontId="0" fillId="0" borderId="0" xfId="2" applyFont="1"/>
    <xf numFmtId="0" fontId="2" fillId="6" borderId="0" xfId="0" applyFont="1" applyFill="1" applyAlignment="1">
      <alignment horizontal="center" wrapText="1"/>
    </xf>
    <xf numFmtId="0" fontId="4" fillId="6" borderId="0" xfId="0" applyFont="1" applyFill="1" applyAlignment="1">
      <alignment horizontal="right" wrapText="1"/>
    </xf>
    <xf numFmtId="0" fontId="1" fillId="5" borderId="12" xfId="0" applyFont="1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16" fontId="0" fillId="0" borderId="1" xfId="0" applyNumberFormat="1" applyBorder="1" applyAlignment="1">
      <alignment wrapText="1"/>
    </xf>
    <xf numFmtId="41" fontId="0" fillId="15" borderId="1" xfId="0" applyNumberFormat="1" applyFill="1" applyBorder="1"/>
    <xf numFmtId="41" fontId="1" fillId="3" borderId="1" xfId="0" applyNumberFormat="1" applyFont="1" applyFill="1" applyBorder="1"/>
    <xf numFmtId="41" fontId="1" fillId="0" borderId="1" xfId="0" applyNumberFormat="1" applyFont="1" applyBorder="1"/>
    <xf numFmtId="41" fontId="1" fillId="15" borderId="1" xfId="0" applyNumberFormat="1" applyFont="1" applyFill="1" applyBorder="1"/>
    <xf numFmtId="41" fontId="1" fillId="13" borderId="1" xfId="0" applyNumberFormat="1" applyFont="1" applyFill="1" applyBorder="1"/>
    <xf numFmtId="41" fontId="1" fillId="14" borderId="1" xfId="0" applyNumberFormat="1" applyFont="1" applyFill="1" applyBorder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8"/>
  <sheetViews>
    <sheetView topLeftCell="D52" zoomScale="107" zoomScaleNormal="107" workbookViewId="0">
      <selection activeCell="M38" sqref="M38"/>
    </sheetView>
  </sheetViews>
  <sheetFormatPr defaultColWidth="11" defaultRowHeight="14.4" x14ac:dyDescent="0.3"/>
  <cols>
    <col min="1" max="1" width="11" style="20"/>
    <col min="2" max="2" width="17" style="21" bestFit="1" customWidth="1"/>
    <col min="3" max="3" width="11" style="20"/>
    <col min="4" max="4" width="17" style="21" bestFit="1" customWidth="1"/>
    <col min="5" max="5" width="7.6328125" style="20" customWidth="1"/>
    <col min="6" max="6" width="5.6328125" style="20" customWidth="1"/>
    <col min="7" max="7" width="11" style="20"/>
    <col min="8" max="8" width="23.81640625" style="20" customWidth="1"/>
    <col min="9" max="10" width="17" style="21" bestFit="1" customWidth="1"/>
    <col min="11" max="16384" width="11" style="20"/>
  </cols>
  <sheetData>
    <row r="1" spans="1:10" x14ac:dyDescent="0.3">
      <c r="A1" s="17" t="s">
        <v>0</v>
      </c>
      <c r="B1" s="18"/>
      <c r="C1" s="19"/>
      <c r="D1" s="18"/>
      <c r="E1" s="19"/>
    </row>
    <row r="2" spans="1:10" ht="16.5" customHeight="1" x14ac:dyDescent="0.3"/>
    <row r="3" spans="1:10" ht="15" thickBot="1" x14ac:dyDescent="0.35">
      <c r="A3" s="38" t="s">
        <v>6</v>
      </c>
      <c r="B3" s="38"/>
      <c r="C3" s="38"/>
      <c r="D3" s="38"/>
      <c r="E3" s="38"/>
      <c r="F3" s="39" t="s">
        <v>7</v>
      </c>
      <c r="G3" s="39"/>
      <c r="H3" s="39"/>
      <c r="I3" s="39"/>
      <c r="J3" s="39"/>
    </row>
    <row r="4" spans="1:10" ht="15" thickBot="1" x14ac:dyDescent="0.35">
      <c r="A4" s="42" t="s">
        <v>4</v>
      </c>
      <c r="B4" s="43"/>
      <c r="C4" s="44" t="s">
        <v>5</v>
      </c>
      <c r="D4" s="41"/>
      <c r="F4" s="22" t="s">
        <v>1</v>
      </c>
      <c r="G4" s="22" t="s">
        <v>2</v>
      </c>
      <c r="H4" s="22" t="s">
        <v>3</v>
      </c>
      <c r="I4" s="23" t="s">
        <v>4</v>
      </c>
      <c r="J4" s="23" t="s">
        <v>5</v>
      </c>
    </row>
    <row r="5" spans="1:10" x14ac:dyDescent="0.3">
      <c r="C5" s="24"/>
      <c r="F5" s="20">
        <v>1</v>
      </c>
      <c r="G5" s="54">
        <v>46143</v>
      </c>
      <c r="H5" s="61" t="s">
        <v>26</v>
      </c>
      <c r="I5" s="21">
        <v>100000000</v>
      </c>
    </row>
    <row r="6" spans="1:10" x14ac:dyDescent="0.3">
      <c r="C6" s="25"/>
      <c r="H6" s="61" t="s">
        <v>27</v>
      </c>
      <c r="J6" s="21">
        <v>100000000</v>
      </c>
    </row>
    <row r="7" spans="1:10" x14ac:dyDescent="0.3">
      <c r="C7" s="24"/>
      <c r="H7" s="56" t="s">
        <v>28</v>
      </c>
    </row>
    <row r="8" spans="1:10" x14ac:dyDescent="0.3">
      <c r="H8" s="56" t="s">
        <v>29</v>
      </c>
    </row>
    <row r="9" spans="1:10" ht="15" thickBot="1" x14ac:dyDescent="0.35">
      <c r="F9" s="58"/>
      <c r="G9" s="58"/>
      <c r="H9" s="58"/>
      <c r="I9" s="59"/>
      <c r="J9" s="59"/>
    </row>
    <row r="10" spans="1:10" ht="15" thickBot="1" x14ac:dyDescent="0.35">
      <c r="A10" s="42"/>
      <c r="B10" s="41"/>
      <c r="C10" s="40"/>
      <c r="D10" s="41"/>
      <c r="F10" s="20">
        <v>2</v>
      </c>
      <c r="G10" s="54">
        <v>46144</v>
      </c>
      <c r="H10" s="61" t="s">
        <v>30</v>
      </c>
      <c r="I10" s="21">
        <v>95000000</v>
      </c>
    </row>
    <row r="11" spans="1:10" x14ac:dyDescent="0.3">
      <c r="C11" s="24"/>
      <c r="H11" s="61" t="s">
        <v>26</v>
      </c>
      <c r="J11" s="21">
        <v>95000000</v>
      </c>
    </row>
    <row r="12" spans="1:10" x14ac:dyDescent="0.3">
      <c r="C12" s="24"/>
      <c r="H12" s="56" t="s">
        <v>31</v>
      </c>
    </row>
    <row r="13" spans="1:10" x14ac:dyDescent="0.3">
      <c r="C13" s="24"/>
      <c r="F13" s="58"/>
      <c r="G13" s="58"/>
      <c r="H13" s="58"/>
      <c r="I13" s="59"/>
      <c r="J13" s="59"/>
    </row>
    <row r="14" spans="1:10" ht="15" thickBot="1" x14ac:dyDescent="0.35">
      <c r="F14" s="20">
        <v>3</v>
      </c>
      <c r="G14" s="54">
        <v>46145</v>
      </c>
      <c r="H14" s="61" t="s">
        <v>32</v>
      </c>
      <c r="I14" s="21">
        <v>600000</v>
      </c>
    </row>
    <row r="15" spans="1:10" ht="15" thickBot="1" x14ac:dyDescent="0.35">
      <c r="A15" s="42"/>
      <c r="B15" s="41"/>
      <c r="C15" s="40"/>
      <c r="D15" s="41"/>
      <c r="H15" s="61" t="s">
        <v>30</v>
      </c>
      <c r="J15" s="21">
        <v>600000</v>
      </c>
    </row>
    <row r="16" spans="1:10" x14ac:dyDescent="0.3">
      <c r="C16" s="24"/>
      <c r="H16" s="56" t="s">
        <v>33</v>
      </c>
    </row>
    <row r="17" spans="1:10" x14ac:dyDescent="0.3">
      <c r="C17" s="24"/>
      <c r="H17" s="56" t="s">
        <v>34</v>
      </c>
    </row>
    <row r="18" spans="1:10" x14ac:dyDescent="0.3">
      <c r="B18" s="26"/>
      <c r="C18" s="24"/>
      <c r="F18" s="58"/>
      <c r="G18" s="58"/>
      <c r="H18" s="58"/>
      <c r="I18" s="59"/>
      <c r="J18" s="59"/>
    </row>
    <row r="19" spans="1:10" ht="15" thickBot="1" x14ac:dyDescent="0.35">
      <c r="F19" s="20">
        <v>4</v>
      </c>
      <c r="G19" s="54">
        <v>46146</v>
      </c>
      <c r="H19" s="61" t="s">
        <v>35</v>
      </c>
      <c r="I19" s="21">
        <v>30000000</v>
      </c>
    </row>
    <row r="20" spans="1:10" ht="15" thickBot="1" x14ac:dyDescent="0.35">
      <c r="A20" s="42"/>
      <c r="B20" s="41"/>
      <c r="C20" s="40"/>
      <c r="D20" s="41"/>
      <c r="H20" s="61" t="s">
        <v>36</v>
      </c>
      <c r="I20" s="21">
        <v>3000000</v>
      </c>
    </row>
    <row r="21" spans="1:10" x14ac:dyDescent="0.3">
      <c r="C21" s="24"/>
      <c r="H21" s="61" t="s">
        <v>30</v>
      </c>
      <c r="J21" s="21">
        <v>20000000</v>
      </c>
    </row>
    <row r="22" spans="1:10" x14ac:dyDescent="0.3">
      <c r="C22" s="24"/>
      <c r="H22" s="61" t="s">
        <v>37</v>
      </c>
      <c r="J22" s="21">
        <v>13000000</v>
      </c>
    </row>
    <row r="23" spans="1:10" ht="43.2" x14ac:dyDescent="0.3">
      <c r="C23" s="24"/>
      <c r="H23" s="57" t="s">
        <v>38</v>
      </c>
    </row>
    <row r="24" spans="1:10" ht="15" thickBot="1" x14ac:dyDescent="0.35">
      <c r="F24" s="58"/>
      <c r="G24" s="58"/>
      <c r="H24" s="58"/>
      <c r="I24" s="59"/>
      <c r="J24" s="59"/>
    </row>
    <row r="25" spans="1:10" ht="15" thickBot="1" x14ac:dyDescent="0.35">
      <c r="A25" s="42"/>
      <c r="B25" s="41"/>
      <c r="C25" s="40"/>
      <c r="D25" s="41"/>
      <c r="F25" s="20">
        <v>5</v>
      </c>
      <c r="G25" s="54">
        <v>46147</v>
      </c>
      <c r="H25" s="61" t="s">
        <v>39</v>
      </c>
      <c r="I25" s="21">
        <v>1200000</v>
      </c>
    </row>
    <row r="26" spans="1:10" x14ac:dyDescent="0.3">
      <c r="C26" s="24"/>
      <c r="H26" s="61" t="s">
        <v>36</v>
      </c>
      <c r="I26" s="21">
        <v>120000</v>
      </c>
    </row>
    <row r="27" spans="1:10" x14ac:dyDescent="0.3">
      <c r="C27" s="24"/>
      <c r="H27" s="61" t="s">
        <v>40</v>
      </c>
      <c r="J27" s="21">
        <v>1320000</v>
      </c>
    </row>
    <row r="28" spans="1:10" ht="28.8" x14ac:dyDescent="0.3">
      <c r="C28" s="24"/>
      <c r="H28" s="57" t="s">
        <v>41</v>
      </c>
    </row>
    <row r="29" spans="1:10" ht="15" thickBot="1" x14ac:dyDescent="0.35">
      <c r="F29" s="58"/>
      <c r="G29" s="58"/>
      <c r="H29" s="58"/>
      <c r="I29" s="59"/>
      <c r="J29" s="59"/>
    </row>
    <row r="30" spans="1:10" ht="15" thickBot="1" x14ac:dyDescent="0.35">
      <c r="A30" s="42"/>
      <c r="B30" s="41"/>
      <c r="C30" s="40"/>
      <c r="D30" s="41"/>
      <c r="F30" s="20">
        <v>6</v>
      </c>
      <c r="G30" s="54">
        <v>46148</v>
      </c>
      <c r="H30" s="61" t="s">
        <v>42</v>
      </c>
      <c r="I30" s="21">
        <v>1000000</v>
      </c>
    </row>
    <row r="31" spans="1:10" x14ac:dyDescent="0.3">
      <c r="C31" s="24"/>
      <c r="H31" s="61" t="s">
        <v>36</v>
      </c>
      <c r="I31" s="21">
        <v>100000</v>
      </c>
    </row>
    <row r="32" spans="1:10" x14ac:dyDescent="0.3">
      <c r="C32" s="24"/>
      <c r="H32" s="61" t="s">
        <v>30</v>
      </c>
      <c r="J32" s="21">
        <v>1100000</v>
      </c>
    </row>
    <row r="33" spans="1:12" ht="43.2" x14ac:dyDescent="0.3">
      <c r="C33" s="24"/>
      <c r="H33" s="57" t="s">
        <v>43</v>
      </c>
    </row>
    <row r="34" spans="1:12" x14ac:dyDescent="0.3">
      <c r="F34" s="58"/>
      <c r="G34" s="58"/>
      <c r="H34" s="58"/>
      <c r="I34" s="59"/>
      <c r="J34" s="59"/>
    </row>
    <row r="35" spans="1:12" ht="15" thickBot="1" x14ac:dyDescent="0.35">
      <c r="F35" s="20">
        <v>7</v>
      </c>
      <c r="G35" s="54">
        <v>46160</v>
      </c>
      <c r="H35" s="61" t="s">
        <v>30</v>
      </c>
      <c r="I35" s="21">
        <v>44000000</v>
      </c>
    </row>
    <row r="36" spans="1:12" ht="15" thickBot="1" x14ac:dyDescent="0.35">
      <c r="A36" s="42"/>
      <c r="B36" s="41"/>
      <c r="C36" s="40"/>
      <c r="D36" s="41"/>
      <c r="H36" s="61" t="s">
        <v>44</v>
      </c>
      <c r="J36" s="21">
        <v>40000000</v>
      </c>
      <c r="K36" s="20" t="s">
        <v>57</v>
      </c>
      <c r="L36" s="20" t="s">
        <v>59</v>
      </c>
    </row>
    <row r="37" spans="1:12" x14ac:dyDescent="0.3">
      <c r="C37" s="24"/>
      <c r="H37" s="61" t="s">
        <v>45</v>
      </c>
      <c r="J37" s="21">
        <v>4000000</v>
      </c>
      <c r="L37" s="20" t="s">
        <v>58</v>
      </c>
    </row>
    <row r="38" spans="1:12" x14ac:dyDescent="0.3">
      <c r="C38" s="24"/>
      <c r="H38" s="56" t="s">
        <v>46</v>
      </c>
    </row>
    <row r="39" spans="1:12" x14ac:dyDescent="0.3">
      <c r="C39" s="24"/>
      <c r="F39" s="58"/>
      <c r="G39" s="58"/>
      <c r="H39" s="58"/>
      <c r="I39" s="59"/>
      <c r="J39" s="59"/>
    </row>
    <row r="40" spans="1:12" x14ac:dyDescent="0.3">
      <c r="F40" s="20">
        <v>8</v>
      </c>
      <c r="G40" s="54">
        <v>46160</v>
      </c>
      <c r="H40" s="61" t="s">
        <v>47</v>
      </c>
      <c r="I40" s="21">
        <v>20000000</v>
      </c>
    </row>
    <row r="41" spans="1:12" x14ac:dyDescent="0.3">
      <c r="H41" s="61" t="s">
        <v>35</v>
      </c>
      <c r="J41" s="21">
        <v>20000000</v>
      </c>
    </row>
    <row r="42" spans="1:12" x14ac:dyDescent="0.3">
      <c r="H42" s="56" t="s">
        <v>48</v>
      </c>
    </row>
    <row r="43" spans="1:12" x14ac:dyDescent="0.3">
      <c r="F43" s="58"/>
      <c r="G43" s="58"/>
      <c r="H43" s="58"/>
      <c r="I43" s="59"/>
      <c r="J43" s="59"/>
    </row>
    <row r="44" spans="1:12" x14ac:dyDescent="0.3">
      <c r="F44" s="20">
        <v>9</v>
      </c>
      <c r="G44" s="54">
        <v>46173</v>
      </c>
      <c r="H44" s="61" t="s">
        <v>49</v>
      </c>
      <c r="I44" s="21">
        <v>5000000</v>
      </c>
    </row>
    <row r="45" spans="1:12" x14ac:dyDescent="0.3">
      <c r="H45" s="61" t="s">
        <v>50</v>
      </c>
      <c r="I45" s="21">
        <v>825000</v>
      </c>
    </row>
    <row r="46" spans="1:12" x14ac:dyDescent="0.3">
      <c r="H46" s="61" t="s">
        <v>51</v>
      </c>
      <c r="J46" s="21">
        <v>1275000</v>
      </c>
    </row>
    <row r="47" spans="1:12" x14ac:dyDescent="0.3">
      <c r="H47" s="61" t="s">
        <v>30</v>
      </c>
      <c r="J47" s="21">
        <v>4550000</v>
      </c>
    </row>
    <row r="48" spans="1:12" x14ac:dyDescent="0.3">
      <c r="H48" s="55" t="s">
        <v>52</v>
      </c>
    </row>
    <row r="49" spans="1:10" x14ac:dyDescent="0.3">
      <c r="C49" s="24"/>
      <c r="F49" s="58"/>
      <c r="G49" s="58"/>
      <c r="H49" s="58"/>
      <c r="I49" s="59"/>
      <c r="J49" s="59"/>
    </row>
    <row r="50" spans="1:10" x14ac:dyDescent="0.3">
      <c r="C50" s="24"/>
      <c r="F50" s="20">
        <v>10</v>
      </c>
      <c r="G50" s="54">
        <v>46173</v>
      </c>
      <c r="H50" s="61" t="s">
        <v>53</v>
      </c>
      <c r="I50" s="21">
        <v>6000000</v>
      </c>
    </row>
    <row r="51" spans="1:10" x14ac:dyDescent="0.3">
      <c r="C51" s="24"/>
      <c r="H51" s="61" t="s">
        <v>36</v>
      </c>
      <c r="I51" s="21">
        <v>600000</v>
      </c>
    </row>
    <row r="52" spans="1:10" x14ac:dyDescent="0.3">
      <c r="H52" s="20" t="s">
        <v>54</v>
      </c>
      <c r="J52" s="21">
        <v>6600000</v>
      </c>
    </row>
    <row r="53" spans="1:10" ht="43.8" thickBot="1" x14ac:dyDescent="0.35">
      <c r="H53" s="57" t="s">
        <v>55</v>
      </c>
    </row>
    <row r="54" spans="1:10" ht="15" thickBot="1" x14ac:dyDescent="0.35">
      <c r="A54" s="42"/>
      <c r="B54" s="41"/>
      <c r="C54" s="40"/>
      <c r="D54" s="41"/>
      <c r="F54" s="58"/>
      <c r="G54" s="58"/>
      <c r="H54" s="58"/>
      <c r="I54" s="59"/>
      <c r="J54" s="59"/>
    </row>
    <row r="55" spans="1:10" x14ac:dyDescent="0.3">
      <c r="C55" s="27"/>
      <c r="F55" s="20">
        <v>11</v>
      </c>
      <c r="G55" s="54">
        <v>46173</v>
      </c>
      <c r="H55" s="61" t="s">
        <v>37</v>
      </c>
      <c r="I55" s="21">
        <v>3000000</v>
      </c>
    </row>
    <row r="56" spans="1:10" x14ac:dyDescent="0.3">
      <c r="C56" s="24"/>
      <c r="H56" s="61" t="s">
        <v>30</v>
      </c>
      <c r="J56" s="21">
        <v>3000000</v>
      </c>
    </row>
    <row r="57" spans="1:10" ht="43.2" x14ac:dyDescent="0.3">
      <c r="C57" s="24"/>
      <c r="H57" s="57" t="s">
        <v>56</v>
      </c>
    </row>
    <row r="58" spans="1:10" x14ac:dyDescent="0.3">
      <c r="F58" s="58"/>
      <c r="G58" s="58"/>
      <c r="H58" s="58"/>
      <c r="I58" s="59"/>
      <c r="J58" s="59"/>
    </row>
    <row r="59" spans="1:10" x14ac:dyDescent="0.3">
      <c r="I59" s="21">
        <f>SUM(I5:I57)</f>
        <v>310445000</v>
      </c>
      <c r="J59" s="21">
        <f>SUM(J5:J57)</f>
        <v>310445000</v>
      </c>
    </row>
    <row r="60" spans="1:10" ht="15" thickBot="1" x14ac:dyDescent="0.35"/>
    <row r="61" spans="1:10" ht="15" thickBot="1" x14ac:dyDescent="0.35">
      <c r="A61" s="42"/>
      <c r="B61" s="41"/>
      <c r="C61" s="40"/>
      <c r="D61" s="41"/>
    </row>
    <row r="62" spans="1:10" x14ac:dyDescent="0.3">
      <c r="C62" s="24"/>
    </row>
    <row r="63" spans="1:10" x14ac:dyDescent="0.3">
      <c r="C63" s="24"/>
    </row>
    <row r="64" spans="1:10" x14ac:dyDescent="0.3">
      <c r="C64" s="24"/>
    </row>
    <row r="76" spans="2:2" x14ac:dyDescent="0.3">
      <c r="B76" s="28"/>
    </row>
    <row r="84" spans="1:4" ht="15" thickBot="1" x14ac:dyDescent="0.35"/>
    <row r="85" spans="1:4" ht="15" thickBot="1" x14ac:dyDescent="0.35">
      <c r="A85" s="42"/>
      <c r="B85" s="41"/>
      <c r="C85" s="40"/>
      <c r="D85" s="41"/>
    </row>
    <row r="86" spans="1:4" x14ac:dyDescent="0.3">
      <c r="C86" s="24"/>
    </row>
    <row r="87" spans="1:4" x14ac:dyDescent="0.3">
      <c r="C87" s="24"/>
    </row>
    <row r="88" spans="1:4" x14ac:dyDescent="0.3">
      <c r="C88" s="24"/>
    </row>
  </sheetData>
  <mergeCells count="22">
    <mergeCell ref="A61:B61"/>
    <mergeCell ref="C61:D61"/>
    <mergeCell ref="A85:B85"/>
    <mergeCell ref="C85:D85"/>
    <mergeCell ref="A54:B54"/>
    <mergeCell ref="C54:D54"/>
    <mergeCell ref="A30:B30"/>
    <mergeCell ref="C30:D30"/>
    <mergeCell ref="A36:B36"/>
    <mergeCell ref="C36:D36"/>
    <mergeCell ref="A4:B4"/>
    <mergeCell ref="C4:D4"/>
    <mergeCell ref="A20:B20"/>
    <mergeCell ref="C20:D20"/>
    <mergeCell ref="A25:B25"/>
    <mergeCell ref="C25:D25"/>
    <mergeCell ref="A3:E3"/>
    <mergeCell ref="F3:J3"/>
    <mergeCell ref="C10:D10"/>
    <mergeCell ref="A10:B10"/>
    <mergeCell ref="A15:B15"/>
    <mergeCell ref="C15:D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7"/>
  <sheetViews>
    <sheetView topLeftCell="A70" zoomScale="90" zoomScaleNormal="90" workbookViewId="0">
      <selection activeCell="D25" sqref="D25"/>
    </sheetView>
  </sheetViews>
  <sheetFormatPr defaultColWidth="10.90625" defaultRowHeight="15.6" x14ac:dyDescent="0.3"/>
  <cols>
    <col min="3" max="3" width="33.08984375" style="73" bestFit="1" customWidth="1"/>
    <col min="4" max="4" width="15.7265625" customWidth="1"/>
    <col min="5" max="6" width="13.1796875" bestFit="1" customWidth="1"/>
  </cols>
  <sheetData>
    <row r="1" spans="1:8" ht="21" x14ac:dyDescent="0.4">
      <c r="A1" s="45" t="s">
        <v>8</v>
      </c>
      <c r="B1" s="45"/>
      <c r="C1" s="45"/>
      <c r="D1" s="45"/>
      <c r="E1" s="45"/>
    </row>
    <row r="2" spans="1:8" ht="21" x14ac:dyDescent="0.4">
      <c r="A2" s="2"/>
      <c r="B2" s="2"/>
      <c r="C2" s="69"/>
      <c r="D2" s="2"/>
      <c r="E2" s="2"/>
    </row>
    <row r="3" spans="1:8" ht="21.6" thickBot="1" x14ac:dyDescent="0.45">
      <c r="A3" s="7" t="s">
        <v>11</v>
      </c>
      <c r="B3" s="8">
        <v>1</v>
      </c>
      <c r="C3" s="70" t="s">
        <v>12</v>
      </c>
      <c r="D3" s="8" t="s">
        <v>26</v>
      </c>
      <c r="E3" s="9"/>
      <c r="F3" s="10"/>
    </row>
    <row r="4" spans="1:8" ht="16.2" thickBot="1" x14ac:dyDescent="0.35">
      <c r="A4" s="4" t="s">
        <v>1</v>
      </c>
      <c r="B4" s="5" t="s">
        <v>2</v>
      </c>
      <c r="C4" s="71" t="s">
        <v>10</v>
      </c>
      <c r="D4" s="5" t="s">
        <v>4</v>
      </c>
      <c r="E4" s="5" t="s">
        <v>5</v>
      </c>
      <c r="F4" s="6" t="s">
        <v>9</v>
      </c>
      <c r="H4" s="29"/>
    </row>
    <row r="5" spans="1:8" x14ac:dyDescent="0.3">
      <c r="A5" s="3">
        <v>1</v>
      </c>
      <c r="B5" s="60">
        <f>'LIBRO DIARIO'!G5</f>
        <v>46143</v>
      </c>
      <c r="C5" s="72" t="str">
        <f>'LIBRO DIARIO'!H7</f>
        <v>ASIENTO DE APERTURA DE LA EMPRESA</v>
      </c>
      <c r="D5" s="32">
        <f>'LIBRO DIARIO'!I5</f>
        <v>100000000</v>
      </c>
      <c r="E5" s="3"/>
      <c r="F5" s="32">
        <f>D5</f>
        <v>100000000</v>
      </c>
    </row>
    <row r="6" spans="1:8" x14ac:dyDescent="0.3">
      <c r="A6" s="1">
        <v>2</v>
      </c>
      <c r="B6" s="63">
        <f>'LIBRO DIARIO'!G10</f>
        <v>46144</v>
      </c>
      <c r="C6" s="64" t="str">
        <f>'LIBRO DIARIO'!H12</f>
        <v>DEPOSITO EN CTA CTE SEGÚN BOLETA</v>
      </c>
      <c r="D6" s="1"/>
      <c r="E6" s="62">
        <f>'LIBRO DIARIO'!J11</f>
        <v>95000000</v>
      </c>
      <c r="F6" s="62">
        <f>F5-E6</f>
        <v>5000000</v>
      </c>
    </row>
    <row r="7" spans="1:8" x14ac:dyDescent="0.3">
      <c r="A7" s="1"/>
      <c r="B7" s="1"/>
      <c r="C7" s="64"/>
      <c r="D7" s="62">
        <f>SUM(D5:D6)</f>
        <v>100000000</v>
      </c>
      <c r="E7" s="62">
        <f>SUM(E6)</f>
        <v>95000000</v>
      </c>
      <c r="F7" s="1"/>
    </row>
    <row r="8" spans="1:8" x14ac:dyDescent="0.3">
      <c r="A8" s="1"/>
      <c r="B8" s="1"/>
      <c r="C8" s="64"/>
      <c r="D8" s="1"/>
      <c r="E8" s="1"/>
      <c r="F8" s="1"/>
    </row>
    <row r="11" spans="1:8" ht="21.6" thickBot="1" x14ac:dyDescent="0.45">
      <c r="A11" s="7" t="s">
        <v>11</v>
      </c>
      <c r="B11" s="8">
        <v>2</v>
      </c>
      <c r="C11" s="70" t="s">
        <v>12</v>
      </c>
      <c r="D11" s="8" t="s">
        <v>27</v>
      </c>
      <c r="E11" s="9"/>
      <c r="F11" s="10"/>
    </row>
    <row r="12" spans="1:8" ht="16.2" thickBot="1" x14ac:dyDescent="0.35">
      <c r="A12" s="4" t="s">
        <v>1</v>
      </c>
      <c r="B12" s="5" t="s">
        <v>2</v>
      </c>
      <c r="C12" s="71" t="s">
        <v>10</v>
      </c>
      <c r="D12" s="5" t="s">
        <v>4</v>
      </c>
      <c r="E12" s="5" t="s">
        <v>5</v>
      </c>
      <c r="F12" s="6" t="s">
        <v>9</v>
      </c>
    </row>
    <row r="13" spans="1:8" x14ac:dyDescent="0.3">
      <c r="A13" s="3">
        <v>1</v>
      </c>
      <c r="B13" s="30">
        <f>B5</f>
        <v>46143</v>
      </c>
      <c r="C13" s="72" t="str">
        <f>'LIBRO DIARIO'!H7</f>
        <v>ASIENTO DE APERTURA DE LA EMPRESA</v>
      </c>
      <c r="D13" s="3"/>
      <c r="E13" s="32">
        <f>'LIBRO DIARIO'!J6</f>
        <v>100000000</v>
      </c>
      <c r="F13" s="32">
        <f>E13</f>
        <v>100000000</v>
      </c>
    </row>
    <row r="14" spans="1:8" x14ac:dyDescent="0.3">
      <c r="A14" s="1"/>
      <c r="B14" s="1"/>
      <c r="C14" s="64"/>
      <c r="D14" s="1"/>
      <c r="E14" s="1"/>
      <c r="F14" s="1"/>
    </row>
    <row r="15" spans="1:8" x14ac:dyDescent="0.3">
      <c r="A15" s="1"/>
      <c r="B15" s="1"/>
      <c r="C15" s="64"/>
      <c r="D15" s="1"/>
      <c r="E15" s="1"/>
      <c r="F15" s="1"/>
    </row>
    <row r="16" spans="1:8" x14ac:dyDescent="0.3">
      <c r="A16" s="1"/>
      <c r="B16" s="1"/>
      <c r="C16" s="64"/>
      <c r="D16" s="1"/>
      <c r="E16" s="62">
        <f>E13</f>
        <v>100000000</v>
      </c>
      <c r="F16" s="62">
        <f>F13</f>
        <v>100000000</v>
      </c>
    </row>
    <row r="19" spans="1:6" ht="21.6" thickBot="1" x14ac:dyDescent="0.45">
      <c r="A19" s="7" t="s">
        <v>11</v>
      </c>
      <c r="B19" s="8">
        <v>3</v>
      </c>
      <c r="C19" s="70" t="s">
        <v>12</v>
      </c>
      <c r="D19" s="8" t="str">
        <f>'LIBRO DIARIO'!H10</f>
        <v>BANCO X CTA CTE</v>
      </c>
      <c r="E19" s="9"/>
      <c r="F19" s="10"/>
    </row>
    <row r="20" spans="1:6" ht="16.2" thickBot="1" x14ac:dyDescent="0.35">
      <c r="A20" s="4" t="s">
        <v>1</v>
      </c>
      <c r="B20" s="5" t="s">
        <v>2</v>
      </c>
      <c r="C20" s="71" t="s">
        <v>10</v>
      </c>
      <c r="D20" s="5" t="s">
        <v>4</v>
      </c>
      <c r="E20" s="5" t="s">
        <v>5</v>
      </c>
      <c r="F20" s="6" t="s">
        <v>9</v>
      </c>
    </row>
    <row r="21" spans="1:6" x14ac:dyDescent="0.3">
      <c r="A21" s="3">
        <f>'LIBRO DIARIO'!F10</f>
        <v>2</v>
      </c>
      <c r="B21" s="30">
        <f>'LIBRO DIARIO'!G10</f>
        <v>46144</v>
      </c>
      <c r="C21" s="72" t="str">
        <f>'LIBRO DIARIO'!H12</f>
        <v>DEPOSITO EN CTA CTE SEGÚN BOLETA</v>
      </c>
      <c r="D21" s="32">
        <f>'LIBRO DIARIO'!I10</f>
        <v>95000000</v>
      </c>
      <c r="E21" s="66"/>
      <c r="F21" s="32">
        <f>D21</f>
        <v>95000000</v>
      </c>
    </row>
    <row r="22" spans="1:6" x14ac:dyDescent="0.3">
      <c r="A22" s="1">
        <v>3</v>
      </c>
      <c r="B22" s="63">
        <f>'LIBRO DIARIO'!G14</f>
        <v>46145</v>
      </c>
      <c r="C22" s="64" t="str">
        <f>'LIBRO DIARIO'!H16</f>
        <v>PAGO DE PATENTE COMERCIAL SEGÚN</v>
      </c>
      <c r="D22" s="1"/>
      <c r="E22" s="67">
        <f>'LIBRO DIARIO'!J15</f>
        <v>600000</v>
      </c>
      <c r="F22" s="62">
        <f>F21-E22</f>
        <v>94400000</v>
      </c>
    </row>
    <row r="23" spans="1:6" ht="31.2" x14ac:dyDescent="0.3">
      <c r="A23" s="1">
        <v>4</v>
      </c>
      <c r="B23" s="63">
        <f>'LIBRO DIARIO'!G19</f>
        <v>46146</v>
      </c>
      <c r="C23" s="64" t="str">
        <f>'LIBRO DIARIO'!H23</f>
        <v>COMPRA DE 3 GENERADORES A GS.11.000.000 C/U SEGÚN F.CREDITO.</v>
      </c>
      <c r="D23" s="1"/>
      <c r="E23" s="67">
        <f>'LIBRO DIARIO'!J21</f>
        <v>20000000</v>
      </c>
      <c r="F23" s="62">
        <f>F22-E23</f>
        <v>74400000</v>
      </c>
    </row>
    <row r="24" spans="1:6" ht="46.8" x14ac:dyDescent="0.3">
      <c r="A24" s="1">
        <v>6</v>
      </c>
      <c r="B24" s="63">
        <v>46148</v>
      </c>
      <c r="C24" s="64" t="str">
        <f>'LIBRO DIARIO'!H33</f>
        <v>COMPRA DE COMPUTADORA PARA USO DE LA EMPRESA SEGÚN FACTURA CONTADO</v>
      </c>
      <c r="D24" s="1"/>
      <c r="E24" s="67">
        <f>'LIBRO DIARIO'!J32</f>
        <v>1100000</v>
      </c>
      <c r="F24" s="62">
        <f>F23-E24</f>
        <v>73300000</v>
      </c>
    </row>
    <row r="25" spans="1:6" ht="31.2" x14ac:dyDescent="0.3">
      <c r="A25" s="1">
        <v>7</v>
      </c>
      <c r="B25" s="63">
        <f>'LIBRO DIARIO'!G35</f>
        <v>46160</v>
      </c>
      <c r="C25" s="64" t="str">
        <f>'LIBRO DIARIO'!H38</f>
        <v>VENTA DE 2 GENERADORES A GS. 20.000.000 C/U SEGÚN FACTURA</v>
      </c>
      <c r="D25" s="62">
        <f>'LIBRO DIARIO'!I35</f>
        <v>44000000</v>
      </c>
      <c r="E25" s="67"/>
      <c r="F25" s="62">
        <f>F24+D25</f>
        <v>117300000</v>
      </c>
    </row>
    <row r="26" spans="1:6" x14ac:dyDescent="0.3">
      <c r="A26" s="1">
        <v>9</v>
      </c>
      <c r="B26" s="63">
        <f>'LIBRO DIARIO'!G44</f>
        <v>46173</v>
      </c>
      <c r="C26" s="64" t="str">
        <f>'LIBRO DIARIO'!H48</f>
        <v>PAGO DE SALARIO AL PERSONAL</v>
      </c>
      <c r="D26" s="62"/>
      <c r="E26" s="67">
        <f>'LIBRO DIARIO'!J47</f>
        <v>4550000</v>
      </c>
      <c r="F26" s="62">
        <f>F25-E26</f>
        <v>112750000</v>
      </c>
    </row>
    <row r="27" spans="1:6" ht="31.2" x14ac:dyDescent="0.3">
      <c r="A27" s="1">
        <v>11</v>
      </c>
      <c r="B27" s="63">
        <f>'LIBRO DIARIO'!G55</f>
        <v>46173</v>
      </c>
      <c r="C27" s="64" t="str">
        <f>'LIBRO DIARIO'!H57</f>
        <v>PAGO PARCIAL POR LA DEUDA DE MERCADERIAS COMPRADAS EL 04/05</v>
      </c>
      <c r="D27" s="1"/>
      <c r="E27" s="67">
        <f>'LIBRO DIARIO'!J56</f>
        <v>3000000</v>
      </c>
      <c r="F27" s="62">
        <f>F26-E27</f>
        <v>109750000</v>
      </c>
    </row>
    <row r="28" spans="1:6" x14ac:dyDescent="0.3">
      <c r="D28" s="65">
        <f>SUM(D21:D27)</f>
        <v>139000000</v>
      </c>
      <c r="E28" s="68">
        <f>SUM(E21:E27)</f>
        <v>29250000</v>
      </c>
    </row>
    <row r="30" spans="1:6" ht="21.6" thickBot="1" x14ac:dyDescent="0.45">
      <c r="A30" s="7" t="s">
        <v>11</v>
      </c>
      <c r="B30" s="8">
        <v>4</v>
      </c>
      <c r="C30" s="70" t="s">
        <v>12</v>
      </c>
      <c r="D30" s="8" t="str">
        <f>'LIBRO DIARIO'!H14</f>
        <v>IMPUESTOS, TASAS Y PATENTES</v>
      </c>
      <c r="E30" s="9"/>
      <c r="F30" s="10"/>
    </row>
    <row r="31" spans="1:6" ht="16.2" thickBot="1" x14ac:dyDescent="0.35">
      <c r="A31" s="4" t="s">
        <v>1</v>
      </c>
      <c r="B31" s="5" t="s">
        <v>2</v>
      </c>
      <c r="C31" s="71" t="s">
        <v>10</v>
      </c>
      <c r="D31" s="5" t="s">
        <v>4</v>
      </c>
      <c r="E31" s="5" t="s">
        <v>5</v>
      </c>
      <c r="F31" s="6" t="s">
        <v>9</v>
      </c>
    </row>
    <row r="32" spans="1:6" x14ac:dyDescent="0.3">
      <c r="A32" s="3">
        <f>'LIBRO DIARIO'!F14</f>
        <v>3</v>
      </c>
      <c r="B32" s="60">
        <f>'LIBRO DIARIO'!G14</f>
        <v>46145</v>
      </c>
      <c r="C32" s="72" t="str">
        <f>'LIBRO DIARIO'!H16</f>
        <v>PAGO DE PATENTE COMERCIAL SEGÚN</v>
      </c>
      <c r="D32" s="32">
        <f>'LIBRO DIARIO'!I14</f>
        <v>600000</v>
      </c>
      <c r="E32" s="3"/>
      <c r="F32" s="32">
        <f>D32</f>
        <v>600000</v>
      </c>
    </row>
    <row r="33" spans="1:6" x14ac:dyDescent="0.3">
      <c r="A33" s="1"/>
      <c r="B33" s="1"/>
      <c r="C33" s="64"/>
      <c r="D33" s="1"/>
      <c r="E33" s="1"/>
      <c r="F33" s="1"/>
    </row>
    <row r="34" spans="1:6" x14ac:dyDescent="0.3">
      <c r="A34" s="1"/>
      <c r="B34" s="1"/>
      <c r="C34" s="64"/>
      <c r="D34" s="1"/>
      <c r="E34" s="1"/>
      <c r="F34" s="1"/>
    </row>
    <row r="35" spans="1:6" x14ac:dyDescent="0.3">
      <c r="A35" s="1"/>
      <c r="B35" s="1"/>
      <c r="C35" s="64"/>
      <c r="D35" s="62">
        <f>D32</f>
        <v>600000</v>
      </c>
      <c r="E35" s="1"/>
      <c r="F35" s="62">
        <f>F32</f>
        <v>600000</v>
      </c>
    </row>
    <row r="38" spans="1:6" ht="21.6" thickBot="1" x14ac:dyDescent="0.45">
      <c r="A38" s="7" t="s">
        <v>11</v>
      </c>
      <c r="B38" s="8">
        <v>5</v>
      </c>
      <c r="C38" s="70" t="s">
        <v>12</v>
      </c>
      <c r="D38" s="8" t="str">
        <f>'LIBRO DIARIO'!H19</f>
        <v>MERCADERIAS</v>
      </c>
      <c r="E38" s="9"/>
      <c r="F38" s="10"/>
    </row>
    <row r="39" spans="1:6" ht="16.2" thickBot="1" x14ac:dyDescent="0.35">
      <c r="A39" s="4" t="s">
        <v>1</v>
      </c>
      <c r="B39" s="5" t="s">
        <v>2</v>
      </c>
      <c r="C39" s="71" t="s">
        <v>10</v>
      </c>
      <c r="D39" s="5" t="s">
        <v>4</v>
      </c>
      <c r="E39" s="5" t="s">
        <v>5</v>
      </c>
      <c r="F39" s="6" t="s">
        <v>9</v>
      </c>
    </row>
    <row r="40" spans="1:6" ht="31.2" x14ac:dyDescent="0.3">
      <c r="A40" s="3">
        <v>4</v>
      </c>
      <c r="B40" s="30">
        <f>'LIBRO DIARIO'!G19</f>
        <v>46146</v>
      </c>
      <c r="C40" s="72" t="str">
        <f>'LIBRO DIARIO'!H23</f>
        <v>COMPRA DE 3 GENERADORES A GS.11.000.000 C/U SEGÚN F.CREDITO.</v>
      </c>
      <c r="D40" s="32">
        <f>'LIBRO DIARIO'!I19</f>
        <v>30000000</v>
      </c>
      <c r="E40" s="3"/>
      <c r="F40" s="32">
        <f>D40</f>
        <v>30000000</v>
      </c>
    </row>
    <row r="41" spans="1:6" x14ac:dyDescent="0.3">
      <c r="A41" s="1">
        <f>'LIBRO DIARIO'!F40</f>
        <v>8</v>
      </c>
      <c r="B41" s="31">
        <f>'LIBRO DIARIO'!G40</f>
        <v>46160</v>
      </c>
      <c r="C41" s="64" t="str">
        <f>'LIBRO DIARIO'!H42</f>
        <v>COSTEO SEGÚN INFORME DEPOSITO</v>
      </c>
      <c r="D41" s="1"/>
      <c r="E41" s="62">
        <f>'LIBRO DIARIO'!J41</f>
        <v>20000000</v>
      </c>
      <c r="F41" s="62">
        <f>F40-E41</f>
        <v>10000000</v>
      </c>
    </row>
    <row r="42" spans="1:6" x14ac:dyDescent="0.3">
      <c r="A42" s="1"/>
      <c r="B42" s="31"/>
      <c r="C42" s="64"/>
      <c r="D42" s="1"/>
      <c r="E42" s="1"/>
      <c r="F42" s="1"/>
    </row>
    <row r="43" spans="1:6" x14ac:dyDescent="0.3">
      <c r="A43" s="1"/>
      <c r="B43" s="31"/>
      <c r="C43" s="64"/>
      <c r="D43" s="1"/>
      <c r="E43" s="1"/>
      <c r="F43" s="62">
        <f>F41</f>
        <v>10000000</v>
      </c>
    </row>
    <row r="44" spans="1:6" x14ac:dyDescent="0.3">
      <c r="D44" s="65">
        <f>D40</f>
        <v>30000000</v>
      </c>
      <c r="E44" s="65">
        <f>E41</f>
        <v>20000000</v>
      </c>
    </row>
    <row r="46" spans="1:6" ht="21.6" thickBot="1" x14ac:dyDescent="0.45">
      <c r="A46" s="7" t="s">
        <v>11</v>
      </c>
      <c r="B46" s="8">
        <v>6</v>
      </c>
      <c r="C46" s="70" t="s">
        <v>12</v>
      </c>
      <c r="D46" s="8" t="str">
        <f>'LIBRO DIARIO'!H20</f>
        <v>IVA CF 10%</v>
      </c>
      <c r="E46" s="9"/>
      <c r="F46" s="10"/>
    </row>
    <row r="47" spans="1:6" ht="16.2" thickBot="1" x14ac:dyDescent="0.35">
      <c r="A47" s="4" t="s">
        <v>1</v>
      </c>
      <c r="B47" s="5" t="s">
        <v>2</v>
      </c>
      <c r="C47" s="71" t="s">
        <v>10</v>
      </c>
      <c r="D47" s="5" t="s">
        <v>4</v>
      </c>
      <c r="E47" s="5" t="s">
        <v>5</v>
      </c>
      <c r="F47" s="6" t="s">
        <v>9</v>
      </c>
    </row>
    <row r="48" spans="1:6" ht="31.2" x14ac:dyDescent="0.3">
      <c r="A48" s="3">
        <f>A40</f>
        <v>4</v>
      </c>
      <c r="B48" s="30">
        <f>B40</f>
        <v>46146</v>
      </c>
      <c r="C48" s="72" t="str">
        <f>'LIBRO DIARIO'!H23</f>
        <v>COMPRA DE 3 GENERADORES A GS.11.000.000 C/U SEGÚN F.CREDITO.</v>
      </c>
      <c r="D48" s="32">
        <f>'LIBRO DIARIO'!I20</f>
        <v>3000000</v>
      </c>
      <c r="E48" s="3"/>
      <c r="F48" s="32">
        <f>D48</f>
        <v>3000000</v>
      </c>
    </row>
    <row r="49" spans="1:6" x14ac:dyDescent="0.3">
      <c r="A49" s="1">
        <v>5</v>
      </c>
      <c r="B49" s="63">
        <v>46147</v>
      </c>
      <c r="C49" s="64" t="str">
        <f>'LIBRO DIARIO'!H28</f>
        <v>COMPRA DE MOBILIARIOS PARA USO EN EL LOCAL</v>
      </c>
      <c r="D49" s="62">
        <f>'LIBRO DIARIO'!I26</f>
        <v>120000</v>
      </c>
      <c r="E49" s="1"/>
      <c r="F49" s="62">
        <f>F48+D49</f>
        <v>3120000</v>
      </c>
    </row>
    <row r="50" spans="1:6" x14ac:dyDescent="0.3">
      <c r="A50" s="1">
        <v>10</v>
      </c>
      <c r="B50" s="63">
        <f>'LIBRO DIARIO'!G50</f>
        <v>46173</v>
      </c>
      <c r="C50" s="64" t="str">
        <f>'LIBRO DIARIO'!H53</f>
        <v>PAGO DE HONROARIOS AL ABOGADO DE LA EMPRESA SEGÚN FACTURA</v>
      </c>
      <c r="D50" s="62">
        <f>'LIBRO DIARIO'!I51</f>
        <v>600000</v>
      </c>
      <c r="E50" s="1"/>
      <c r="F50" s="62">
        <f>F49+D50</f>
        <v>3720000</v>
      </c>
    </row>
    <row r="51" spans="1:6" x14ac:dyDescent="0.3">
      <c r="A51" s="1">
        <v>6</v>
      </c>
      <c r="B51" s="63">
        <v>46148</v>
      </c>
      <c r="C51" s="64" t="str">
        <f>'LIBRO DIARIO'!H33</f>
        <v>COMPRA DE COMPUTADORA PARA USO DE LA EMPRESA SEGÚN FACTURA CONTADO</v>
      </c>
      <c r="D51" s="62">
        <v>100000</v>
      </c>
      <c r="E51" s="1">
        <v>0</v>
      </c>
      <c r="F51" s="62">
        <f>F50+D51</f>
        <v>3820000</v>
      </c>
    </row>
    <row r="52" spans="1:6" x14ac:dyDescent="0.3">
      <c r="D52" s="65">
        <f>SUM(D48:D51)</f>
        <v>3820000</v>
      </c>
    </row>
    <row r="54" spans="1:6" ht="21.6" thickBot="1" x14ac:dyDescent="0.45">
      <c r="A54" s="7" t="s">
        <v>11</v>
      </c>
      <c r="B54" s="8">
        <v>7</v>
      </c>
      <c r="C54" s="70" t="s">
        <v>12</v>
      </c>
      <c r="D54" s="8" t="s">
        <v>37</v>
      </c>
      <c r="E54" s="9"/>
      <c r="F54" s="10"/>
    </row>
    <row r="55" spans="1:6" ht="16.2" thickBot="1" x14ac:dyDescent="0.35">
      <c r="A55" s="4" t="s">
        <v>1</v>
      </c>
      <c r="B55" s="5" t="s">
        <v>2</v>
      </c>
      <c r="C55" s="71" t="s">
        <v>10</v>
      </c>
      <c r="D55" s="5" t="s">
        <v>4</v>
      </c>
      <c r="E55" s="5" t="s">
        <v>5</v>
      </c>
      <c r="F55" s="6" t="s">
        <v>9</v>
      </c>
    </row>
    <row r="56" spans="1:6" x14ac:dyDescent="0.3">
      <c r="A56" s="3">
        <v>4</v>
      </c>
      <c r="B56" s="30">
        <f>B48</f>
        <v>46146</v>
      </c>
      <c r="C56" s="72" t="str">
        <f>'LIBRO DIARIO'!H23</f>
        <v>COMPRA DE 3 GENERADORES A GS.11.000.000 C/U SEGÚN F.CREDITO.</v>
      </c>
      <c r="D56" s="3"/>
      <c r="E56" s="32">
        <f>'LIBRO DIARIO'!J22</f>
        <v>13000000</v>
      </c>
      <c r="F56" s="32">
        <f>E56</f>
        <v>13000000</v>
      </c>
    </row>
    <row r="57" spans="1:6" x14ac:dyDescent="0.3">
      <c r="A57" s="1">
        <f>'LIBRO DIARIO'!F55</f>
        <v>11</v>
      </c>
      <c r="B57" s="63">
        <f>'LIBRO DIARIO'!G55</f>
        <v>46173</v>
      </c>
      <c r="C57" s="74" t="str">
        <f>'LIBRO DIARIO'!H57</f>
        <v>PAGO PARCIAL POR LA DEUDA DE MERCADERIAS COMPRADAS EL 04/05</v>
      </c>
      <c r="D57" s="62">
        <f>'LIBRO DIARIO'!I55</f>
        <v>3000000</v>
      </c>
      <c r="E57" s="1"/>
      <c r="F57" s="62">
        <f>F56+D57</f>
        <v>16000000</v>
      </c>
    </row>
    <row r="58" spans="1:6" x14ac:dyDescent="0.3">
      <c r="A58" s="1"/>
      <c r="B58" s="1"/>
      <c r="C58" s="64"/>
      <c r="D58" s="1"/>
      <c r="E58" s="1"/>
      <c r="F58" s="1"/>
    </row>
    <row r="59" spans="1:6" x14ac:dyDescent="0.3">
      <c r="A59" s="1"/>
      <c r="B59" s="1"/>
      <c r="C59" s="64"/>
      <c r="D59" s="62">
        <f>D57</f>
        <v>3000000</v>
      </c>
      <c r="E59" s="62">
        <f>E56</f>
        <v>13000000</v>
      </c>
      <c r="F59" s="1"/>
    </row>
    <row r="62" spans="1:6" ht="21.6" thickBot="1" x14ac:dyDescent="0.45">
      <c r="A62" s="7" t="s">
        <v>11</v>
      </c>
      <c r="B62" s="8">
        <v>8</v>
      </c>
      <c r="C62" s="70" t="s">
        <v>12</v>
      </c>
      <c r="D62" s="8" t="s">
        <v>39</v>
      </c>
      <c r="E62" s="9"/>
      <c r="F62" s="10"/>
    </row>
    <row r="63" spans="1:6" ht="16.2" thickBot="1" x14ac:dyDescent="0.35">
      <c r="A63" s="4" t="s">
        <v>1</v>
      </c>
      <c r="B63" s="5" t="s">
        <v>2</v>
      </c>
      <c r="C63" s="71" t="s">
        <v>10</v>
      </c>
      <c r="D63" s="5" t="s">
        <v>4</v>
      </c>
      <c r="E63" s="5" t="s">
        <v>5</v>
      </c>
      <c r="F63" s="6" t="s">
        <v>9</v>
      </c>
    </row>
    <row r="64" spans="1:6" x14ac:dyDescent="0.3">
      <c r="A64" s="3">
        <v>5</v>
      </c>
      <c r="B64" s="60">
        <f>'LIBRO DIARIO'!G25</f>
        <v>46147</v>
      </c>
      <c r="C64" s="72" t="str">
        <f>'LIBRO DIARIO'!H28</f>
        <v>COMPRA DE MOBILIARIOS PARA USO EN EL LOCAL</v>
      </c>
      <c r="D64" s="32">
        <f>'LIBRO DIARIO'!I25</f>
        <v>1200000</v>
      </c>
      <c r="E64" s="3"/>
      <c r="F64" s="32">
        <f>D64</f>
        <v>1200000</v>
      </c>
    </row>
    <row r="65" spans="1:6" x14ac:dyDescent="0.3">
      <c r="A65" s="1"/>
      <c r="B65" s="1"/>
      <c r="C65" s="64"/>
      <c r="D65" s="1"/>
      <c r="E65" s="1"/>
      <c r="F65" s="1"/>
    </row>
    <row r="66" spans="1:6" x14ac:dyDescent="0.3">
      <c r="A66" s="1"/>
      <c r="B66" s="1"/>
      <c r="C66" s="64"/>
      <c r="D66" s="1"/>
      <c r="E66" s="1"/>
      <c r="F66" s="1"/>
    </row>
    <row r="67" spans="1:6" x14ac:dyDescent="0.3">
      <c r="A67" s="1"/>
      <c r="B67" s="1"/>
      <c r="C67" s="64"/>
      <c r="D67" s="62">
        <f>D64</f>
        <v>1200000</v>
      </c>
      <c r="E67" s="1"/>
      <c r="F67" s="62">
        <f>F64</f>
        <v>1200000</v>
      </c>
    </row>
    <row r="70" spans="1:6" ht="21.6" thickBot="1" x14ac:dyDescent="0.45">
      <c r="A70" s="7" t="s">
        <v>11</v>
      </c>
      <c r="B70" s="8">
        <v>9</v>
      </c>
      <c r="C70" s="70" t="s">
        <v>12</v>
      </c>
      <c r="D70" s="8" t="s">
        <v>40</v>
      </c>
      <c r="E70" s="9"/>
      <c r="F70" s="10"/>
    </row>
    <row r="71" spans="1:6" ht="16.2" thickBot="1" x14ac:dyDescent="0.35">
      <c r="A71" s="4" t="s">
        <v>1</v>
      </c>
      <c r="B71" s="5" t="s">
        <v>2</v>
      </c>
      <c r="C71" s="71" t="s">
        <v>10</v>
      </c>
      <c r="D71" s="5" t="s">
        <v>4</v>
      </c>
      <c r="E71" s="5" t="s">
        <v>5</v>
      </c>
      <c r="F71" s="6" t="s">
        <v>9</v>
      </c>
    </row>
    <row r="72" spans="1:6" x14ac:dyDescent="0.3">
      <c r="A72" s="3">
        <v>5</v>
      </c>
      <c r="B72" s="60">
        <f>'LIBRO DIARIO'!G25</f>
        <v>46147</v>
      </c>
      <c r="C72" s="72" t="str">
        <f>'LIBRO DIARIO'!H28</f>
        <v>COMPRA DE MOBILIARIOS PARA USO EN EL LOCAL</v>
      </c>
      <c r="D72" s="32"/>
      <c r="E72" s="32">
        <f>'LIBRO DIARIO'!J27</f>
        <v>1320000</v>
      </c>
      <c r="F72" s="32">
        <f>E72</f>
        <v>1320000</v>
      </c>
    </row>
    <row r="73" spans="1:6" x14ac:dyDescent="0.3">
      <c r="A73" s="1"/>
      <c r="B73" s="1"/>
      <c r="C73" s="64"/>
      <c r="D73" s="1"/>
      <c r="E73" s="1"/>
      <c r="F73" s="1"/>
    </row>
    <row r="74" spans="1:6" x14ac:dyDescent="0.3">
      <c r="A74" s="1"/>
      <c r="B74" s="1"/>
      <c r="C74" s="64"/>
      <c r="D74" s="1"/>
      <c r="E74" s="1"/>
      <c r="F74" s="1"/>
    </row>
    <row r="75" spans="1:6" x14ac:dyDescent="0.3">
      <c r="A75" s="1"/>
      <c r="B75" s="1"/>
      <c r="C75" s="64"/>
      <c r="D75" s="1">
        <v>0</v>
      </c>
      <c r="E75" s="62">
        <f>E72</f>
        <v>1320000</v>
      </c>
      <c r="F75" s="62">
        <f>E75</f>
        <v>1320000</v>
      </c>
    </row>
    <row r="78" spans="1:6" ht="21.6" thickBot="1" x14ac:dyDescent="0.45">
      <c r="A78" s="7" t="s">
        <v>11</v>
      </c>
      <c r="B78" s="8">
        <v>10</v>
      </c>
      <c r="C78" s="70" t="s">
        <v>12</v>
      </c>
      <c r="D78" s="8" t="str">
        <f>'LIBRO DIARIO'!H30</f>
        <v>EQUIPOS DE INFORMATICA</v>
      </c>
      <c r="E78" s="9"/>
      <c r="F78" s="10"/>
    </row>
    <row r="79" spans="1:6" ht="16.2" thickBot="1" x14ac:dyDescent="0.35">
      <c r="A79" s="4" t="s">
        <v>1</v>
      </c>
      <c r="B79" s="5" t="s">
        <v>2</v>
      </c>
      <c r="C79" s="71" t="s">
        <v>10</v>
      </c>
      <c r="D79" s="5" t="s">
        <v>4</v>
      </c>
      <c r="E79" s="5" t="s">
        <v>5</v>
      </c>
      <c r="F79" s="6" t="s">
        <v>9</v>
      </c>
    </row>
    <row r="80" spans="1:6" x14ac:dyDescent="0.3">
      <c r="A80" s="3">
        <v>6</v>
      </c>
      <c r="B80" s="60">
        <f>'LIBRO DIARIO'!G30</f>
        <v>46148</v>
      </c>
      <c r="C80" s="72" t="str">
        <f>'LIBRO DIARIO'!H33</f>
        <v>COMPRA DE COMPUTADORA PARA USO DE LA EMPRESA SEGÚN FACTURA CONTADO</v>
      </c>
      <c r="D80" s="32">
        <f>'LIBRO DIARIO'!I30</f>
        <v>1000000</v>
      </c>
      <c r="E80" s="3"/>
      <c r="F80" s="32">
        <f>D80</f>
        <v>1000000</v>
      </c>
    </row>
    <row r="81" spans="1:6" x14ac:dyDescent="0.3">
      <c r="A81" s="1"/>
      <c r="B81" s="1"/>
      <c r="C81" s="64"/>
      <c r="D81" s="1"/>
      <c r="E81" s="1"/>
      <c r="F81" s="1"/>
    </row>
    <row r="82" spans="1:6" x14ac:dyDescent="0.3">
      <c r="A82" s="1"/>
      <c r="B82" s="1"/>
      <c r="C82" s="64"/>
      <c r="D82" s="1"/>
      <c r="E82" s="1"/>
      <c r="F82" s="1"/>
    </row>
    <row r="83" spans="1:6" x14ac:dyDescent="0.3">
      <c r="A83" s="1"/>
      <c r="B83" s="1"/>
      <c r="C83" s="64"/>
      <c r="D83" s="62">
        <f>D80</f>
        <v>1000000</v>
      </c>
      <c r="E83" s="1"/>
      <c r="F83" s="62">
        <f>F80</f>
        <v>1000000</v>
      </c>
    </row>
    <row r="86" spans="1:6" ht="21.6" thickBot="1" x14ac:dyDescent="0.45">
      <c r="A86" s="7" t="s">
        <v>11</v>
      </c>
      <c r="B86" s="8">
        <v>11</v>
      </c>
      <c r="C86" s="70" t="s">
        <v>12</v>
      </c>
      <c r="D86" s="8" t="s">
        <v>44</v>
      </c>
      <c r="E86" s="9"/>
      <c r="F86" s="10"/>
    </row>
    <row r="87" spans="1:6" ht="16.2" thickBot="1" x14ac:dyDescent="0.35">
      <c r="A87" s="4" t="s">
        <v>1</v>
      </c>
      <c r="B87" s="5" t="s">
        <v>2</v>
      </c>
      <c r="C87" s="71" t="s">
        <v>10</v>
      </c>
      <c r="D87" s="5" t="s">
        <v>4</v>
      </c>
      <c r="E87" s="5" t="s">
        <v>5</v>
      </c>
      <c r="F87" s="6" t="s">
        <v>9</v>
      </c>
    </row>
    <row r="88" spans="1:6" x14ac:dyDescent="0.3">
      <c r="A88" s="3">
        <v>7</v>
      </c>
      <c r="B88" s="60">
        <f>'LIBRO DIARIO'!G35</f>
        <v>46160</v>
      </c>
      <c r="C88" s="72" t="str">
        <f>'LIBRO DIARIO'!H38</f>
        <v>VENTA DE 2 GENERADORES A GS. 20.000.000 C/U SEGÚN FACTURA</v>
      </c>
      <c r="D88" s="3"/>
      <c r="E88" s="32">
        <f>'LIBRO DIARIO'!J36</f>
        <v>40000000</v>
      </c>
      <c r="F88" s="32">
        <f>E88</f>
        <v>40000000</v>
      </c>
    </row>
    <row r="89" spans="1:6" x14ac:dyDescent="0.3">
      <c r="A89" s="1"/>
      <c r="B89" s="1"/>
      <c r="C89" s="64"/>
      <c r="D89" s="1"/>
      <c r="E89" s="1"/>
      <c r="F89" s="1"/>
    </row>
    <row r="90" spans="1:6" x14ac:dyDescent="0.3">
      <c r="A90" s="1"/>
      <c r="B90" s="1"/>
      <c r="C90" s="64"/>
      <c r="D90" s="1"/>
      <c r="E90" s="1"/>
      <c r="F90" s="1"/>
    </row>
    <row r="91" spans="1:6" x14ac:dyDescent="0.3">
      <c r="A91" s="1"/>
      <c r="B91" s="1"/>
      <c r="C91" s="64"/>
      <c r="D91" s="1">
        <v>0</v>
      </c>
      <c r="E91" s="62">
        <f>F91</f>
        <v>40000000</v>
      </c>
      <c r="F91" s="62">
        <f>F88</f>
        <v>40000000</v>
      </c>
    </row>
    <row r="94" spans="1:6" ht="21.6" thickBot="1" x14ac:dyDescent="0.45">
      <c r="A94" s="7" t="s">
        <v>11</v>
      </c>
      <c r="B94" s="8">
        <v>12</v>
      </c>
      <c r="C94" s="70" t="s">
        <v>12</v>
      </c>
      <c r="D94" s="8" t="s">
        <v>45</v>
      </c>
      <c r="E94" s="9"/>
      <c r="F94" s="10"/>
    </row>
    <row r="95" spans="1:6" ht="16.2" thickBot="1" x14ac:dyDescent="0.35">
      <c r="A95" s="4" t="s">
        <v>1</v>
      </c>
      <c r="B95" s="5" t="s">
        <v>2</v>
      </c>
      <c r="C95" s="71" t="s">
        <v>10</v>
      </c>
      <c r="D95" s="5" t="s">
        <v>4</v>
      </c>
      <c r="E95" s="5" t="s">
        <v>5</v>
      </c>
      <c r="F95" s="6" t="s">
        <v>9</v>
      </c>
    </row>
    <row r="96" spans="1:6" x14ac:dyDescent="0.3">
      <c r="A96" s="3">
        <v>7</v>
      </c>
      <c r="B96" s="60">
        <f>B88</f>
        <v>46160</v>
      </c>
      <c r="C96" s="72" t="str">
        <f>'LIBRO DIARIO'!H38</f>
        <v>VENTA DE 2 GENERADORES A GS. 20.000.000 C/U SEGÚN FACTURA</v>
      </c>
      <c r="D96" s="3"/>
      <c r="E96" s="32">
        <f>'LIBRO DIARIO'!J37</f>
        <v>4000000</v>
      </c>
      <c r="F96" s="32">
        <f>E96</f>
        <v>4000000</v>
      </c>
    </row>
    <row r="97" spans="1:6" x14ac:dyDescent="0.3">
      <c r="A97" s="1"/>
      <c r="B97" s="1"/>
      <c r="C97" s="64"/>
      <c r="D97" s="1"/>
      <c r="E97" s="1"/>
      <c r="F97" s="1"/>
    </row>
    <row r="98" spans="1:6" x14ac:dyDescent="0.3">
      <c r="A98" s="1"/>
      <c r="B98" s="1"/>
      <c r="C98" s="64"/>
      <c r="D98" s="1"/>
      <c r="E98" s="1"/>
      <c r="F98" s="62">
        <f>F96</f>
        <v>4000000</v>
      </c>
    </row>
    <row r="99" spans="1:6" x14ac:dyDescent="0.3">
      <c r="A99" s="1"/>
      <c r="B99" s="1"/>
      <c r="C99" s="64"/>
      <c r="D99" s="1">
        <v>0</v>
      </c>
      <c r="E99" s="62">
        <f>E96</f>
        <v>4000000</v>
      </c>
      <c r="F99" s="1"/>
    </row>
    <row r="102" spans="1:6" ht="21.6" thickBot="1" x14ac:dyDescent="0.45">
      <c r="A102" s="7" t="s">
        <v>11</v>
      </c>
      <c r="B102" s="8">
        <v>13</v>
      </c>
      <c r="C102" s="70" t="s">
        <v>12</v>
      </c>
      <c r="D102" s="8" t="s">
        <v>47</v>
      </c>
      <c r="E102" s="9"/>
      <c r="F102" s="10"/>
    </row>
    <row r="103" spans="1:6" ht="16.2" thickBot="1" x14ac:dyDescent="0.35">
      <c r="A103" s="4" t="s">
        <v>1</v>
      </c>
      <c r="B103" s="5" t="s">
        <v>2</v>
      </c>
      <c r="C103" s="71" t="s">
        <v>10</v>
      </c>
      <c r="D103" s="5" t="s">
        <v>4</v>
      </c>
      <c r="E103" s="5" t="s">
        <v>5</v>
      </c>
      <c r="F103" s="6" t="s">
        <v>9</v>
      </c>
    </row>
    <row r="104" spans="1:6" x14ac:dyDescent="0.3">
      <c r="A104" s="3">
        <v>8</v>
      </c>
      <c r="B104" s="60">
        <f>B96</f>
        <v>46160</v>
      </c>
      <c r="C104" s="72" t="str">
        <f>'LIBRO DIARIO'!H42</f>
        <v>COSTEO SEGÚN INFORME DEPOSITO</v>
      </c>
      <c r="D104" s="32">
        <f>'LIBRO DIARIO'!I40</f>
        <v>20000000</v>
      </c>
      <c r="E104" s="3"/>
      <c r="F104" s="32">
        <f>D104</f>
        <v>20000000</v>
      </c>
    </row>
    <row r="105" spans="1:6" x14ac:dyDescent="0.3">
      <c r="A105" s="1"/>
      <c r="B105" s="1"/>
      <c r="C105" s="64"/>
      <c r="D105" s="1"/>
      <c r="E105" s="1"/>
      <c r="F105" s="1"/>
    </row>
    <row r="106" spans="1:6" x14ac:dyDescent="0.3">
      <c r="A106" s="1"/>
      <c r="B106" s="1"/>
      <c r="C106" s="64"/>
      <c r="D106" s="1"/>
      <c r="E106" s="1"/>
      <c r="F106" s="62">
        <f>F104</f>
        <v>20000000</v>
      </c>
    </row>
    <row r="107" spans="1:6" x14ac:dyDescent="0.3">
      <c r="A107" s="1"/>
      <c r="B107" s="1"/>
      <c r="C107" s="64"/>
      <c r="D107" s="62">
        <f>D104</f>
        <v>20000000</v>
      </c>
      <c r="E107" s="1">
        <v>0</v>
      </c>
      <c r="F107" s="1"/>
    </row>
    <row r="110" spans="1:6" ht="21.6" thickBot="1" x14ac:dyDescent="0.45">
      <c r="A110" s="7" t="s">
        <v>11</v>
      </c>
      <c r="B110" s="8">
        <v>14</v>
      </c>
      <c r="C110" s="70" t="s">
        <v>12</v>
      </c>
      <c r="D110" s="8" t="s">
        <v>49</v>
      </c>
      <c r="E110" s="9"/>
      <c r="F110" s="10"/>
    </row>
    <row r="111" spans="1:6" ht="16.2" thickBot="1" x14ac:dyDescent="0.35">
      <c r="A111" s="4" t="s">
        <v>1</v>
      </c>
      <c r="B111" s="5" t="s">
        <v>2</v>
      </c>
      <c r="C111" s="71" t="s">
        <v>10</v>
      </c>
      <c r="D111" s="5" t="s">
        <v>4</v>
      </c>
      <c r="E111" s="5" t="s">
        <v>5</v>
      </c>
      <c r="F111" s="6" t="s">
        <v>9</v>
      </c>
    </row>
    <row r="112" spans="1:6" x14ac:dyDescent="0.3">
      <c r="A112" s="3">
        <f>'LIBRO DIARIO'!F44</f>
        <v>9</v>
      </c>
      <c r="B112" s="60">
        <f>'LIBRO DIARIO'!G44</f>
        <v>46173</v>
      </c>
      <c r="C112" s="72" t="str">
        <f>'LIBRO DIARIO'!H48</f>
        <v>PAGO DE SALARIO AL PERSONAL</v>
      </c>
      <c r="D112" s="32">
        <f>'LIBRO DIARIO'!I44</f>
        <v>5000000</v>
      </c>
      <c r="E112" s="3"/>
      <c r="F112" s="32">
        <f>D112</f>
        <v>5000000</v>
      </c>
    </row>
    <row r="113" spans="1:6" x14ac:dyDescent="0.3">
      <c r="A113" s="1"/>
      <c r="B113" s="1"/>
      <c r="C113" s="64"/>
      <c r="D113" s="1"/>
      <c r="E113" s="1"/>
      <c r="F113" s="1"/>
    </row>
    <row r="114" spans="1:6" x14ac:dyDescent="0.3">
      <c r="A114" s="1"/>
      <c r="B114" s="1"/>
      <c r="C114" s="64"/>
      <c r="D114" s="1"/>
      <c r="E114" s="1"/>
      <c r="F114" s="62">
        <f>F112</f>
        <v>5000000</v>
      </c>
    </row>
    <row r="115" spans="1:6" x14ac:dyDescent="0.3">
      <c r="A115" s="1"/>
      <c r="B115" s="1"/>
      <c r="C115" s="64"/>
      <c r="D115" s="62">
        <f>D112</f>
        <v>5000000</v>
      </c>
      <c r="E115" s="1">
        <v>0</v>
      </c>
      <c r="F115" s="1"/>
    </row>
    <row r="118" spans="1:6" ht="21.6" thickBot="1" x14ac:dyDescent="0.45">
      <c r="A118" s="7" t="s">
        <v>11</v>
      </c>
      <c r="B118" s="8">
        <v>15</v>
      </c>
      <c r="C118" s="70" t="s">
        <v>12</v>
      </c>
      <c r="D118" s="8" t="s">
        <v>50</v>
      </c>
      <c r="E118" s="9"/>
      <c r="F118" s="10"/>
    </row>
    <row r="119" spans="1:6" ht="16.2" thickBot="1" x14ac:dyDescent="0.35">
      <c r="A119" s="4" t="s">
        <v>1</v>
      </c>
      <c r="B119" s="5" t="s">
        <v>2</v>
      </c>
      <c r="C119" s="71" t="s">
        <v>10</v>
      </c>
      <c r="D119" s="5" t="s">
        <v>4</v>
      </c>
      <c r="E119" s="5" t="s">
        <v>5</v>
      </c>
      <c r="F119" s="6" t="s">
        <v>9</v>
      </c>
    </row>
    <row r="120" spans="1:6" x14ac:dyDescent="0.3">
      <c r="A120" s="3">
        <v>9</v>
      </c>
      <c r="B120" s="60">
        <f>'LIBRO DIARIO'!G44</f>
        <v>46173</v>
      </c>
      <c r="C120" s="72" t="str">
        <f>'LIBRO DIARIO'!H48</f>
        <v>PAGO DE SALARIO AL PERSONAL</v>
      </c>
      <c r="D120" s="32">
        <f>'LIBRO DIARIO'!I45</f>
        <v>825000</v>
      </c>
      <c r="E120" s="3"/>
      <c r="F120" s="32">
        <f>D120</f>
        <v>825000</v>
      </c>
    </row>
    <row r="121" spans="1:6" x14ac:dyDescent="0.3">
      <c r="A121" s="1"/>
      <c r="B121" s="1"/>
      <c r="C121" s="64"/>
      <c r="D121" s="1"/>
      <c r="E121" s="1"/>
      <c r="F121" s="1"/>
    </row>
    <row r="122" spans="1:6" x14ac:dyDescent="0.3">
      <c r="A122" s="1"/>
      <c r="B122" s="1"/>
      <c r="C122" s="64"/>
      <c r="D122" s="1"/>
      <c r="E122" s="1"/>
      <c r="F122" s="62">
        <f>F120</f>
        <v>825000</v>
      </c>
    </row>
    <row r="123" spans="1:6" x14ac:dyDescent="0.3">
      <c r="A123" s="1"/>
      <c r="B123" s="1"/>
      <c r="C123" s="64"/>
      <c r="D123" s="62">
        <f>D120</f>
        <v>825000</v>
      </c>
      <c r="E123" s="1">
        <v>0</v>
      </c>
      <c r="F123" s="1"/>
    </row>
    <row r="126" spans="1:6" ht="21.6" thickBot="1" x14ac:dyDescent="0.45">
      <c r="A126" s="7" t="s">
        <v>11</v>
      </c>
      <c r="B126" s="8">
        <v>16</v>
      </c>
      <c r="C126" s="70" t="s">
        <v>12</v>
      </c>
      <c r="D126" s="8" t="s">
        <v>51</v>
      </c>
      <c r="E126" s="9"/>
      <c r="F126" s="10"/>
    </row>
    <row r="127" spans="1:6" ht="16.2" thickBot="1" x14ac:dyDescent="0.35">
      <c r="A127" s="4" t="s">
        <v>1</v>
      </c>
      <c r="B127" s="5" t="s">
        <v>2</v>
      </c>
      <c r="C127" s="71" t="s">
        <v>10</v>
      </c>
      <c r="D127" s="5" t="s">
        <v>4</v>
      </c>
      <c r="E127" s="5" t="s">
        <v>5</v>
      </c>
      <c r="F127" s="6" t="s">
        <v>9</v>
      </c>
    </row>
    <row r="128" spans="1:6" x14ac:dyDescent="0.3">
      <c r="A128" s="3">
        <f>A120</f>
        <v>9</v>
      </c>
      <c r="B128" s="60">
        <f>B120</f>
        <v>46173</v>
      </c>
      <c r="C128" s="72" t="str">
        <f>'LIBRO DIARIO'!H48</f>
        <v>PAGO DE SALARIO AL PERSONAL</v>
      </c>
      <c r="D128" s="3"/>
      <c r="E128" s="32">
        <f>'LIBRO DIARIO'!J46</f>
        <v>1275000</v>
      </c>
      <c r="F128" s="32">
        <f>E128</f>
        <v>1275000</v>
      </c>
    </row>
    <row r="129" spans="1:6" x14ac:dyDescent="0.3">
      <c r="A129" s="1"/>
      <c r="B129" s="1"/>
      <c r="C129" s="64"/>
      <c r="D129" s="1"/>
      <c r="E129" s="1"/>
      <c r="F129" s="1"/>
    </row>
    <row r="130" spans="1:6" x14ac:dyDescent="0.3">
      <c r="A130" s="1"/>
      <c r="B130" s="1"/>
      <c r="C130" s="64"/>
      <c r="D130" s="1"/>
      <c r="E130" s="1"/>
      <c r="F130" s="62">
        <f>F128</f>
        <v>1275000</v>
      </c>
    </row>
    <row r="131" spans="1:6" x14ac:dyDescent="0.3">
      <c r="A131" s="1"/>
      <c r="B131" s="1"/>
      <c r="C131" s="64"/>
      <c r="D131" s="1">
        <v>0</v>
      </c>
      <c r="E131" s="62">
        <f>E128</f>
        <v>1275000</v>
      </c>
      <c r="F131" s="1"/>
    </row>
    <row r="134" spans="1:6" ht="21.6" thickBot="1" x14ac:dyDescent="0.45">
      <c r="A134" s="7" t="s">
        <v>11</v>
      </c>
      <c r="B134" s="8">
        <v>17</v>
      </c>
      <c r="C134" s="70" t="s">
        <v>12</v>
      </c>
      <c r="D134" s="8" t="s">
        <v>53</v>
      </c>
      <c r="E134" s="9"/>
      <c r="F134" s="10"/>
    </row>
    <row r="135" spans="1:6" ht="16.2" thickBot="1" x14ac:dyDescent="0.35">
      <c r="A135" s="4" t="s">
        <v>1</v>
      </c>
      <c r="B135" s="5" t="s">
        <v>2</v>
      </c>
      <c r="C135" s="71" t="s">
        <v>10</v>
      </c>
      <c r="D135" s="5" t="s">
        <v>4</v>
      </c>
      <c r="E135" s="5" t="s">
        <v>5</v>
      </c>
      <c r="F135" s="6" t="s">
        <v>9</v>
      </c>
    </row>
    <row r="136" spans="1:6" x14ac:dyDescent="0.3">
      <c r="A136" s="3">
        <f>'LIBRO DIARIO'!F50</f>
        <v>10</v>
      </c>
      <c r="B136" s="60">
        <f>'LIBRO DIARIO'!G50</f>
        <v>46173</v>
      </c>
      <c r="C136" s="72" t="str">
        <f>'LIBRO DIARIO'!H53</f>
        <v>PAGO DE HONROARIOS AL ABOGADO DE LA EMPRESA SEGÚN FACTURA</v>
      </c>
      <c r="D136" s="32">
        <f>'LIBRO DIARIO'!I50</f>
        <v>6000000</v>
      </c>
      <c r="E136" s="3"/>
      <c r="F136" s="32">
        <f>D136</f>
        <v>6000000</v>
      </c>
    </row>
    <row r="137" spans="1:6" x14ac:dyDescent="0.3">
      <c r="A137" s="1"/>
      <c r="B137" s="1"/>
      <c r="C137" s="64"/>
      <c r="D137" s="1"/>
      <c r="E137" s="1"/>
      <c r="F137" s="1"/>
    </row>
    <row r="138" spans="1:6" x14ac:dyDescent="0.3">
      <c r="A138" s="1"/>
      <c r="B138" s="1"/>
      <c r="C138" s="64"/>
      <c r="D138" s="1"/>
      <c r="E138" s="1"/>
      <c r="F138" s="62">
        <f>F136</f>
        <v>6000000</v>
      </c>
    </row>
    <row r="139" spans="1:6" x14ac:dyDescent="0.3">
      <c r="A139" s="1"/>
      <c r="B139" s="1"/>
      <c r="C139" s="64"/>
      <c r="D139" s="62">
        <f>D136</f>
        <v>6000000</v>
      </c>
      <c r="E139" s="1">
        <v>0</v>
      </c>
      <c r="F139" s="1"/>
    </row>
    <row r="142" spans="1:6" ht="21.6" thickBot="1" x14ac:dyDescent="0.45">
      <c r="A142" s="7" t="s">
        <v>11</v>
      </c>
      <c r="B142" s="8">
        <v>18</v>
      </c>
      <c r="C142" s="70" t="s">
        <v>12</v>
      </c>
      <c r="D142" s="8" t="s">
        <v>54</v>
      </c>
      <c r="E142" s="9"/>
      <c r="F142" s="10"/>
    </row>
    <row r="143" spans="1:6" ht="16.2" thickBot="1" x14ac:dyDescent="0.35">
      <c r="A143" s="4" t="s">
        <v>1</v>
      </c>
      <c r="B143" s="5" t="s">
        <v>2</v>
      </c>
      <c r="C143" s="71" t="s">
        <v>10</v>
      </c>
      <c r="D143" s="5" t="s">
        <v>4</v>
      </c>
      <c r="E143" s="5" t="s">
        <v>5</v>
      </c>
      <c r="F143" s="6" t="s">
        <v>9</v>
      </c>
    </row>
    <row r="144" spans="1:6" x14ac:dyDescent="0.3">
      <c r="A144" s="3">
        <f>A136</f>
        <v>10</v>
      </c>
      <c r="B144" s="60">
        <f>B136</f>
        <v>46173</v>
      </c>
      <c r="C144" s="72" t="str">
        <f>'LIBRO DIARIO'!H53</f>
        <v>PAGO DE HONROARIOS AL ABOGADO DE LA EMPRESA SEGÚN FACTURA</v>
      </c>
      <c r="D144" s="3"/>
      <c r="E144" s="32">
        <f>'LIBRO DIARIO'!J52</f>
        <v>6600000</v>
      </c>
      <c r="F144" s="3"/>
    </row>
    <row r="145" spans="1:6" x14ac:dyDescent="0.3">
      <c r="A145" s="1"/>
      <c r="B145" s="1"/>
      <c r="C145" s="64"/>
      <c r="D145" s="1"/>
      <c r="E145" s="1"/>
      <c r="F145" s="1"/>
    </row>
    <row r="146" spans="1:6" x14ac:dyDescent="0.3">
      <c r="A146" s="1"/>
      <c r="B146" s="1"/>
      <c r="C146" s="64"/>
      <c r="D146" s="1"/>
      <c r="E146" s="1"/>
      <c r="F146" s="1"/>
    </row>
    <row r="147" spans="1:6" x14ac:dyDescent="0.3">
      <c r="A147" s="1"/>
      <c r="B147" s="1"/>
      <c r="C147" s="64"/>
      <c r="D147" s="1"/>
      <c r="E147" s="1"/>
      <c r="F147" s="1"/>
    </row>
  </sheetData>
  <mergeCells count="1">
    <mergeCell ref="A1:E1"/>
  </mergeCells>
  <pageMargins left="0.7" right="0.7" top="0.75" bottom="0.75" header="0.3" footer="0.3"/>
  <pageSetup paperSize="177" orientation="portrait" r:id="rId1"/>
  <ignoredErrors>
    <ignoredError sqref="F25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8"/>
  <sheetViews>
    <sheetView tabSelected="1" zoomScaleNormal="100" workbookViewId="0">
      <selection activeCell="F28" sqref="F28"/>
    </sheetView>
  </sheetViews>
  <sheetFormatPr defaultColWidth="10.90625" defaultRowHeight="15.6" x14ac:dyDescent="0.3"/>
  <cols>
    <col min="2" max="2" width="26.36328125" customWidth="1"/>
    <col min="3" max="3" width="13.26953125" bestFit="1" customWidth="1"/>
    <col min="4" max="6" width="13.1796875" bestFit="1" customWidth="1"/>
    <col min="7" max="7" width="13.453125" customWidth="1"/>
    <col min="8" max="8" width="13.81640625" customWidth="1"/>
    <col min="9" max="9" width="14.90625" bestFit="1" customWidth="1"/>
    <col min="10" max="10" width="15.6328125" customWidth="1"/>
  </cols>
  <sheetData>
    <row r="1" spans="1:12" ht="21" x14ac:dyDescent="0.4">
      <c r="A1" s="11" t="s">
        <v>13</v>
      </c>
      <c r="B1" s="11"/>
      <c r="C1" s="11"/>
      <c r="D1" s="11"/>
      <c r="E1" s="11"/>
      <c r="F1" s="12"/>
      <c r="G1" s="12"/>
      <c r="H1" s="12"/>
      <c r="I1" s="12"/>
      <c r="J1" s="12"/>
      <c r="K1" s="12"/>
      <c r="L1" s="12"/>
    </row>
    <row r="2" spans="1:12" ht="16.2" thickBot="1" x14ac:dyDescent="0.35"/>
    <row r="3" spans="1:12" ht="16.2" thickBot="1" x14ac:dyDescent="0.35">
      <c r="A3" s="48" t="s">
        <v>14</v>
      </c>
      <c r="B3" s="48" t="s">
        <v>15</v>
      </c>
      <c r="C3" s="50" t="s">
        <v>16</v>
      </c>
      <c r="D3" s="51"/>
      <c r="E3" s="52" t="s">
        <v>17</v>
      </c>
      <c r="F3" s="53"/>
      <c r="G3" s="46" t="s">
        <v>20</v>
      </c>
      <c r="H3" s="47"/>
      <c r="I3" s="46" t="s">
        <v>21</v>
      </c>
      <c r="J3" s="47"/>
    </row>
    <row r="4" spans="1:12" ht="16.2" thickBot="1" x14ac:dyDescent="0.35">
      <c r="A4" s="49"/>
      <c r="B4" s="49"/>
      <c r="C4" s="13" t="s">
        <v>4</v>
      </c>
      <c r="D4" s="14" t="s">
        <v>5</v>
      </c>
      <c r="E4" s="13" t="s">
        <v>18</v>
      </c>
      <c r="F4" s="14" t="s">
        <v>19</v>
      </c>
      <c r="G4" s="33" t="s">
        <v>22</v>
      </c>
      <c r="H4" s="33" t="s">
        <v>23</v>
      </c>
      <c r="I4" s="34" t="s">
        <v>24</v>
      </c>
      <c r="J4" s="33" t="s">
        <v>25</v>
      </c>
    </row>
    <row r="5" spans="1:12" x14ac:dyDescent="0.3">
      <c r="A5" s="3">
        <v>1</v>
      </c>
      <c r="B5" s="3" t="s">
        <v>26</v>
      </c>
      <c r="C5" s="67">
        <f>'LIBRO MAYOR'!D7</f>
        <v>100000000</v>
      </c>
      <c r="D5" s="67">
        <f>'LIBRO MAYOR'!E7</f>
        <v>95000000</v>
      </c>
      <c r="E5" s="67">
        <f>'LIBRO MAYOR'!F6</f>
        <v>5000000</v>
      </c>
      <c r="F5" s="67"/>
      <c r="G5" s="62">
        <f>E5</f>
        <v>5000000</v>
      </c>
      <c r="H5" s="62"/>
      <c r="I5" s="62"/>
      <c r="J5" s="62"/>
    </row>
    <row r="6" spans="1:12" x14ac:dyDescent="0.3">
      <c r="A6" s="1">
        <v>2</v>
      </c>
      <c r="B6" s="1" t="s">
        <v>27</v>
      </c>
      <c r="C6" s="67"/>
      <c r="D6" s="67">
        <f>'LIBRO MAYOR'!E16</f>
        <v>100000000</v>
      </c>
      <c r="E6" s="67"/>
      <c r="F6" s="67">
        <f>D6</f>
        <v>100000000</v>
      </c>
      <c r="G6" s="15"/>
      <c r="H6" s="15">
        <f>F6</f>
        <v>100000000</v>
      </c>
      <c r="I6" s="15"/>
      <c r="J6" s="15"/>
    </row>
    <row r="7" spans="1:12" x14ac:dyDescent="0.3">
      <c r="A7" s="1">
        <v>3</v>
      </c>
      <c r="B7" s="1" t="str">
        <f>'LIBRO MAYOR'!D19</f>
        <v>BANCO X CTA CTE</v>
      </c>
      <c r="C7" s="67">
        <f>'LIBRO MAYOR'!D28</f>
        <v>139000000</v>
      </c>
      <c r="D7" s="67">
        <f>'LIBRO MAYOR'!E28</f>
        <v>29250000</v>
      </c>
      <c r="E7" s="67">
        <f>'LIBRO MAYOR'!F27</f>
        <v>109750000</v>
      </c>
      <c r="F7" s="67"/>
      <c r="G7" s="15">
        <f>E7</f>
        <v>109750000</v>
      </c>
      <c r="H7" s="15"/>
      <c r="I7" s="15"/>
      <c r="J7" s="15"/>
    </row>
    <row r="8" spans="1:12" x14ac:dyDescent="0.3">
      <c r="A8" s="1">
        <v>4</v>
      </c>
      <c r="B8" s="1" t="str">
        <f>'LIBRO MAYOR'!D30</f>
        <v>IMPUESTOS, TASAS Y PATENTES</v>
      </c>
      <c r="C8" s="67">
        <f>'LIBRO MAYOR'!D35</f>
        <v>600000</v>
      </c>
      <c r="D8" s="67"/>
      <c r="E8" s="67">
        <f>C8</f>
        <v>600000</v>
      </c>
      <c r="F8" s="67"/>
      <c r="G8" s="15"/>
      <c r="H8" s="15"/>
      <c r="I8" s="15">
        <f>E8</f>
        <v>600000</v>
      </c>
      <c r="J8" s="15"/>
    </row>
    <row r="9" spans="1:12" x14ac:dyDescent="0.3">
      <c r="A9" s="1">
        <v>5</v>
      </c>
      <c r="B9" s="1" t="s">
        <v>35</v>
      </c>
      <c r="C9" s="67">
        <f>'LIBRO MAYOR'!D44</f>
        <v>30000000</v>
      </c>
      <c r="D9" s="67">
        <f>'LIBRO MAYOR'!E44</f>
        <v>20000000</v>
      </c>
      <c r="E9" s="67">
        <f>'LIBRO MAYOR'!F43</f>
        <v>10000000</v>
      </c>
      <c r="F9" s="67"/>
      <c r="G9" s="15">
        <f>E9</f>
        <v>10000000</v>
      </c>
      <c r="H9" s="15"/>
      <c r="I9" s="15"/>
      <c r="J9" s="15"/>
    </row>
    <row r="10" spans="1:12" x14ac:dyDescent="0.3">
      <c r="A10" s="1">
        <v>6</v>
      </c>
      <c r="B10" s="1" t="str">
        <f>'LIBRO MAYOR'!D46</f>
        <v>IVA CF 10%</v>
      </c>
      <c r="C10" s="67">
        <f>'LIBRO MAYOR'!D52</f>
        <v>3820000</v>
      </c>
      <c r="D10" s="67"/>
      <c r="E10" s="67">
        <f>C10</f>
        <v>3820000</v>
      </c>
      <c r="F10" s="67"/>
      <c r="G10" s="15">
        <f>E10</f>
        <v>3820000</v>
      </c>
      <c r="H10" s="15"/>
      <c r="I10" s="15"/>
      <c r="J10" s="15"/>
    </row>
    <row r="11" spans="1:12" x14ac:dyDescent="0.3">
      <c r="A11" s="1">
        <v>7</v>
      </c>
      <c r="B11" s="1" t="str">
        <f>'LIBRO MAYOR'!D54</f>
        <v>PROVEEDORES</v>
      </c>
      <c r="C11" s="67">
        <f>'LIBRO MAYOR'!D59</f>
        <v>3000000</v>
      </c>
      <c r="D11" s="67">
        <f>'LIBRO MAYOR'!E59</f>
        <v>13000000</v>
      </c>
      <c r="E11" s="67"/>
      <c r="F11" s="67">
        <f>'LIBRO MAYOR'!F57</f>
        <v>16000000</v>
      </c>
      <c r="G11" s="15"/>
      <c r="H11" s="15">
        <f>F11</f>
        <v>16000000</v>
      </c>
      <c r="I11" s="15"/>
      <c r="J11" s="15"/>
    </row>
    <row r="12" spans="1:12" x14ac:dyDescent="0.3">
      <c r="A12" s="1">
        <v>8</v>
      </c>
      <c r="B12" s="1" t="str">
        <f>'LIBRO MAYOR'!D62</f>
        <v>MUEBLES Y EQUIPOS</v>
      </c>
      <c r="C12" s="67">
        <f>'LIBRO MAYOR'!D67</f>
        <v>1200000</v>
      </c>
      <c r="D12" s="67"/>
      <c r="E12" s="67">
        <f>C12</f>
        <v>1200000</v>
      </c>
      <c r="F12" s="67"/>
      <c r="G12" s="15">
        <f>E12</f>
        <v>1200000</v>
      </c>
      <c r="H12" s="15"/>
      <c r="I12" s="15"/>
      <c r="J12" s="15"/>
    </row>
    <row r="13" spans="1:12" x14ac:dyDescent="0.3">
      <c r="A13" s="1">
        <v>9</v>
      </c>
      <c r="B13" s="1" t="str">
        <f>'LIBRO MAYOR'!D70</f>
        <v>ACREEDORES VARIOS</v>
      </c>
      <c r="C13" s="67"/>
      <c r="D13" s="67">
        <f>'LIBRO MAYOR'!E75</f>
        <v>1320000</v>
      </c>
      <c r="E13" s="67"/>
      <c r="F13" s="67">
        <f>D13</f>
        <v>1320000</v>
      </c>
      <c r="G13" s="15"/>
      <c r="H13" s="15">
        <f>F13</f>
        <v>1320000</v>
      </c>
      <c r="I13" s="15"/>
      <c r="J13" s="15"/>
    </row>
    <row r="14" spans="1:12" x14ac:dyDescent="0.3">
      <c r="A14" s="1">
        <v>10</v>
      </c>
      <c r="B14" s="1" t="str">
        <f>'LIBRO MAYOR'!D78</f>
        <v>EQUIPOS DE INFORMATICA</v>
      </c>
      <c r="C14" s="67">
        <f>'LIBRO MAYOR'!D83</f>
        <v>1000000</v>
      </c>
      <c r="D14" s="67"/>
      <c r="E14" s="67">
        <f>C14</f>
        <v>1000000</v>
      </c>
      <c r="F14" s="67"/>
      <c r="G14" s="15">
        <f>E14</f>
        <v>1000000</v>
      </c>
      <c r="H14" s="15"/>
      <c r="I14" s="15"/>
      <c r="J14" s="15"/>
    </row>
    <row r="15" spans="1:12" x14ac:dyDescent="0.3">
      <c r="A15" s="1">
        <v>11</v>
      </c>
      <c r="B15" s="1" t="str">
        <f>'LIBRO MAYOR'!D86</f>
        <v>VENTA DE MERCADERIAS</v>
      </c>
      <c r="C15" s="67"/>
      <c r="D15" s="67">
        <f>'LIBRO MAYOR'!E88</f>
        <v>40000000</v>
      </c>
      <c r="E15" s="67"/>
      <c r="F15" s="67">
        <f>D15</f>
        <v>40000000</v>
      </c>
      <c r="G15" s="15"/>
      <c r="H15" s="15"/>
      <c r="I15" s="15"/>
      <c r="J15" s="15">
        <f>F15</f>
        <v>40000000</v>
      </c>
    </row>
    <row r="16" spans="1:12" x14ac:dyDescent="0.3">
      <c r="A16" s="1">
        <v>12</v>
      </c>
      <c r="B16" s="1" t="str">
        <f>'LIBRO MAYOR'!D94</f>
        <v>IVA DF 10%</v>
      </c>
      <c r="C16" s="67"/>
      <c r="D16" s="67">
        <f>'LIBRO MAYOR'!E99</f>
        <v>4000000</v>
      </c>
      <c r="E16" s="67"/>
      <c r="F16" s="67">
        <f>D16</f>
        <v>4000000</v>
      </c>
      <c r="G16" s="15"/>
      <c r="H16" s="15">
        <f>F16</f>
        <v>4000000</v>
      </c>
      <c r="I16" s="15"/>
      <c r="J16" s="15"/>
    </row>
    <row r="17" spans="1:10" x14ac:dyDescent="0.3">
      <c r="A17" s="1">
        <v>13</v>
      </c>
      <c r="B17" s="1" t="str">
        <f>'LIBRO MAYOR'!D102</f>
        <v>COSTO DE MERCADERIAS</v>
      </c>
      <c r="C17" s="67">
        <f>'LIBRO MAYOR'!D104</f>
        <v>20000000</v>
      </c>
      <c r="D17" s="67"/>
      <c r="E17" s="67">
        <f>C17</f>
        <v>20000000</v>
      </c>
      <c r="F17" s="67"/>
      <c r="G17" s="15"/>
      <c r="H17" s="15"/>
      <c r="I17" s="15">
        <f>E17</f>
        <v>20000000</v>
      </c>
      <c r="J17" s="15"/>
    </row>
    <row r="18" spans="1:10" x14ac:dyDescent="0.3">
      <c r="A18" s="1">
        <v>14</v>
      </c>
      <c r="B18" s="1" t="str">
        <f>'LIBRO MAYOR'!D110</f>
        <v>SUELDOS Y JORNALES</v>
      </c>
      <c r="C18" s="67">
        <f>'LIBRO MAYOR'!D115</f>
        <v>5000000</v>
      </c>
      <c r="D18" s="67"/>
      <c r="E18" s="67">
        <f>C18</f>
        <v>5000000</v>
      </c>
      <c r="F18" s="67"/>
      <c r="G18" s="15"/>
      <c r="H18" s="15"/>
      <c r="I18" s="15">
        <f>E18</f>
        <v>5000000</v>
      </c>
      <c r="J18" s="15"/>
    </row>
    <row r="19" spans="1:10" x14ac:dyDescent="0.3">
      <c r="A19" s="1">
        <v>15</v>
      </c>
      <c r="B19" s="1" t="str">
        <f>'LIBRO MAYOR'!D118</f>
        <v>APORTE PATRONAL</v>
      </c>
      <c r="C19" s="67">
        <f>'LIBRO MAYOR'!D120</f>
        <v>825000</v>
      </c>
      <c r="D19" s="67"/>
      <c r="E19" s="67">
        <f>C19</f>
        <v>825000</v>
      </c>
      <c r="F19" s="67"/>
      <c r="G19" s="15"/>
      <c r="H19" s="15"/>
      <c r="I19" s="15">
        <f>E19</f>
        <v>825000</v>
      </c>
      <c r="J19" s="15"/>
    </row>
    <row r="20" spans="1:10" x14ac:dyDescent="0.3">
      <c r="A20" s="1">
        <v>16</v>
      </c>
      <c r="B20" s="1" t="str">
        <f>'LIBRO MAYOR'!D126</f>
        <v>IPS A PAGAR</v>
      </c>
      <c r="C20" s="67"/>
      <c r="D20" s="67">
        <f>'LIBRO MAYOR'!E131</f>
        <v>1275000</v>
      </c>
      <c r="E20" s="67"/>
      <c r="F20" s="67">
        <f>D20</f>
        <v>1275000</v>
      </c>
      <c r="G20" s="15"/>
      <c r="H20" s="15">
        <f>F20</f>
        <v>1275000</v>
      </c>
      <c r="I20" s="15"/>
      <c r="J20" s="15"/>
    </row>
    <row r="21" spans="1:10" x14ac:dyDescent="0.3">
      <c r="A21" s="1">
        <v>17</v>
      </c>
      <c r="B21" s="1" t="s">
        <v>53</v>
      </c>
      <c r="C21" s="67">
        <f>'LIBRO MAYOR'!D139</f>
        <v>6000000</v>
      </c>
      <c r="D21" s="67"/>
      <c r="E21" s="67">
        <f>C21</f>
        <v>6000000</v>
      </c>
      <c r="F21" s="67"/>
      <c r="G21" s="15"/>
      <c r="H21" s="15"/>
      <c r="I21" s="15">
        <f>E21</f>
        <v>6000000</v>
      </c>
      <c r="J21" s="15"/>
    </row>
    <row r="22" spans="1:10" x14ac:dyDescent="0.3">
      <c r="A22" s="1">
        <v>18</v>
      </c>
      <c r="B22" s="1" t="str">
        <f>'LIBRO MAYOR'!D142</f>
        <v>HONORARIOS A PAGAR</v>
      </c>
      <c r="C22" s="67"/>
      <c r="D22" s="67">
        <f>'LIBRO MAYOR'!E144</f>
        <v>6600000</v>
      </c>
      <c r="E22" s="67"/>
      <c r="F22" s="67">
        <f>D22</f>
        <v>6600000</v>
      </c>
      <c r="G22" s="15"/>
      <c r="H22" s="15"/>
      <c r="I22" s="15">
        <f>F22</f>
        <v>6600000</v>
      </c>
      <c r="J22" s="15"/>
    </row>
    <row r="23" spans="1:10" x14ac:dyDescent="0.3">
      <c r="A23" s="1"/>
      <c r="B23" s="16"/>
      <c r="C23" s="79">
        <f>SUM(C5:C22)</f>
        <v>310445000</v>
      </c>
      <c r="D23" s="79">
        <f>SUM(D5:D22)</f>
        <v>310445000</v>
      </c>
      <c r="E23" s="80">
        <f t="shared" ref="E23:J23" si="0">SUM(E5:E22)</f>
        <v>163195000</v>
      </c>
      <c r="F23" s="80">
        <f t="shared" si="0"/>
        <v>169195000</v>
      </c>
      <c r="G23" s="76">
        <f t="shared" si="0"/>
        <v>130770000</v>
      </c>
      <c r="H23" s="36">
        <f t="shared" si="0"/>
        <v>122595000</v>
      </c>
      <c r="I23" s="75">
        <f t="shared" si="0"/>
        <v>39025000</v>
      </c>
      <c r="J23" s="78">
        <f t="shared" si="0"/>
        <v>40000000</v>
      </c>
    </row>
    <row r="24" spans="1:10" x14ac:dyDescent="0.3">
      <c r="A24" s="1"/>
      <c r="B24" s="1"/>
      <c r="C24" s="1"/>
      <c r="D24" s="1"/>
      <c r="E24" s="1"/>
      <c r="F24" s="1"/>
      <c r="G24" s="35"/>
      <c r="H24" s="35">
        <f>G23-H23</f>
        <v>8175000</v>
      </c>
      <c r="I24" s="35">
        <f>J23-I23</f>
        <v>975000</v>
      </c>
      <c r="J24" s="35"/>
    </row>
    <row r="25" spans="1:10" x14ac:dyDescent="0.3">
      <c r="A25" s="1"/>
      <c r="B25" s="16"/>
      <c r="C25" s="35"/>
      <c r="D25" s="35"/>
      <c r="E25" s="35"/>
      <c r="F25" s="35"/>
      <c r="G25" s="35"/>
      <c r="H25" s="77">
        <f>SUM(H23:H24)</f>
        <v>130770000</v>
      </c>
      <c r="I25" s="77">
        <f>SUM(I23:I24)</f>
        <v>40000000</v>
      </c>
      <c r="J25" s="35"/>
    </row>
    <row r="27" spans="1:10" x14ac:dyDescent="0.3">
      <c r="D27" s="37"/>
    </row>
    <row r="28" spans="1:10" x14ac:dyDescent="0.3">
      <c r="D28" s="37"/>
    </row>
  </sheetData>
  <mergeCells count="6">
    <mergeCell ref="G3:H3"/>
    <mergeCell ref="I3:J3"/>
    <mergeCell ref="A3:A4"/>
    <mergeCell ref="B3:B4"/>
    <mergeCell ref="C3:D3"/>
    <mergeCell ref="E3:F3"/>
  </mergeCells>
  <pageMargins left="0.7" right="0.7" top="0.75" bottom="0.75" header="0.3" footer="0.3"/>
  <ignoredErrors>
    <ignoredError sqref="E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LIBRO DIARIO</vt:lpstr>
      <vt:lpstr>LIBRO MAYOR</vt:lpstr>
      <vt:lpstr>BG _ER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FPUNA</dc:creator>
  <cp:lastModifiedBy>Gustavo Lesme</cp:lastModifiedBy>
  <dcterms:created xsi:type="dcterms:W3CDTF">2025-04-15T12:33:19Z</dcterms:created>
  <dcterms:modified xsi:type="dcterms:W3CDTF">2026-06-03T07:15:03Z</dcterms:modified>
</cp:coreProperties>
</file>