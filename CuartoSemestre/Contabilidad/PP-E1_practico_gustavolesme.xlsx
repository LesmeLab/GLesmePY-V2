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8_{23C89FB1-1329-4D6B-A0FC-1BAC3EEBC0B0}" xr6:coauthVersionLast="47" xr6:coauthVersionMax="47" xr10:uidLastSave="{00000000-0000-0000-0000-000000000000}"/>
  <bookViews>
    <workbookView xWindow="9276" yWindow="2412" windowWidth="17280" windowHeight="8964" xr2:uid="{76251761-2B8E-491F-B8F4-1B8E828943A2}"/>
  </bookViews>
  <sheets>
    <sheet name="PP-E1_gustavoles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E13" i="1"/>
  <c r="C13" i="1"/>
  <c r="C12" i="1"/>
  <c r="C11" i="1"/>
  <c r="C15" i="1" s="1"/>
  <c r="E14" i="1" s="1"/>
  <c r="C17" i="1" s="1"/>
  <c r="E15" i="1" l="1"/>
</calcChain>
</file>

<file path=xl/sharedStrings.xml><?xml version="1.0" encoding="utf-8"?>
<sst xmlns="http://schemas.openxmlformats.org/spreadsheetml/2006/main" count="18" uniqueCount="17">
  <si>
    <t>Halla el Patrimonio Neto de las siguientes empresas.</t>
  </si>
  <si>
    <t>(40 puntos; en cada ejercicio se evaluará: 5 puntos clasificación correcta de elementos patrimoniales, 5 puntos uso correcto de cuentas contables, 5 puntos uso y verificación de la ecuación patrimonial, 5 puntos demostración del equilibrio contable).</t>
  </si>
  <si>
    <t>Gonzalo Ferro se dedicará a la compra-venta de impresores 3D e inicia sus operaciones comerciales con los siguientes bienes patrimoniales:</t>
  </si>
  <si>
    <t>Impresoras para la venta: Gs. 56.200.000 IVA Incluido del 10%</t>
  </si>
  <si>
    <t>Deuda con la Empresa HWR SA por las impresoras por Gs. 2.000.000, sin firma de pagaré.</t>
  </si>
  <si>
    <t>Computadora para uso de la empresa: Gs. 2.600.000 IVA Incluido 10%.</t>
  </si>
  <si>
    <t>DEBE</t>
  </si>
  <si>
    <t>HABER</t>
  </si>
  <si>
    <t>EQUIPOS DE INFORMATICA</t>
  </si>
  <si>
    <t>PROVEEDORES</t>
  </si>
  <si>
    <t xml:space="preserve">IVA CF 10% </t>
  </si>
  <si>
    <t>EQUIPO DE INFORMATICA</t>
  </si>
  <si>
    <t>TOTAL PASIVO</t>
  </si>
  <si>
    <t>CAPITAL</t>
  </si>
  <si>
    <t>TOTAL ACTIVO</t>
  </si>
  <si>
    <t>PASIVO + P.NETO</t>
  </si>
  <si>
    <t>PATRIMONIO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</si>
</sst>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6090E"/>
      <name val="Segoe UI"/>
      <family val="2"/>
    </font>
    <font>
      <i/>
      <sz val="10"/>
      <color rgb="FF06090E"/>
      <name val="Segoe UI"/>
      <family val="2"/>
    </font>
    <font>
      <sz val="10"/>
      <color rgb="FF06090E"/>
      <name val="Segoe U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2" fontId="0" fillId="0" borderId="4" xfId="1" applyFont="1" applyBorder="1"/>
    <xf numFmtId="42" fontId="0" fillId="0" borderId="5" xfId="1" applyFont="1" applyBorder="1"/>
    <xf numFmtId="42" fontId="0" fillId="0" borderId="6" xfId="1" applyFont="1" applyBorder="1"/>
    <xf numFmtId="0" fontId="2" fillId="0" borderId="0" xfId="0" applyFont="1"/>
    <xf numFmtId="42" fontId="2" fillId="0" borderId="5" xfId="1" applyFont="1" applyBorder="1"/>
    <xf numFmtId="42" fontId="2" fillId="0" borderId="0" xfId="1" applyFont="1" applyBorder="1"/>
    <xf numFmtId="42" fontId="2" fillId="0" borderId="6" xfId="1" applyFont="1" applyBorder="1"/>
    <xf numFmtId="42" fontId="2" fillId="0" borderId="0" xfId="0" applyNumberFormat="1" applyFont="1"/>
    <xf numFmtId="0" fontId="6" fillId="0" borderId="0" xfId="0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CD40-41EE-46CB-9798-198E05F27F5D}">
  <dimension ref="A2:E17"/>
  <sheetViews>
    <sheetView tabSelected="1" topLeftCell="A10" workbookViewId="0">
      <selection activeCell="B20" sqref="B20"/>
    </sheetView>
  </sheetViews>
  <sheetFormatPr defaultRowHeight="14.4" x14ac:dyDescent="0.3"/>
  <cols>
    <col min="2" max="2" width="23.6640625" bestFit="1" customWidth="1"/>
    <col min="3" max="3" width="12.6640625" bestFit="1" customWidth="1"/>
    <col min="4" max="4" width="15.77734375" bestFit="1" customWidth="1"/>
    <col min="5" max="5" width="12.6640625" bestFit="1" customWidth="1"/>
  </cols>
  <sheetData>
    <row r="2" spans="1:5" ht="15" x14ac:dyDescent="0.35">
      <c r="A2" s="1" t="s">
        <v>0</v>
      </c>
    </row>
    <row r="3" spans="1:5" ht="15" x14ac:dyDescent="0.35">
      <c r="A3" s="1" t="s">
        <v>1</v>
      </c>
    </row>
    <row r="4" spans="1:5" ht="15" x14ac:dyDescent="0.35">
      <c r="A4" s="1"/>
    </row>
    <row r="5" spans="1:5" ht="15" x14ac:dyDescent="0.35">
      <c r="A5" s="2" t="s">
        <v>2</v>
      </c>
    </row>
    <row r="6" spans="1:5" ht="15" x14ac:dyDescent="0.35">
      <c r="A6" s="3" t="s">
        <v>3</v>
      </c>
    </row>
    <row r="7" spans="1:5" ht="15" x14ac:dyDescent="0.35">
      <c r="A7" s="3" t="s">
        <v>4</v>
      </c>
    </row>
    <row r="8" spans="1:5" ht="15" x14ac:dyDescent="0.35">
      <c r="A8" s="3" t="s">
        <v>5</v>
      </c>
    </row>
    <row r="10" spans="1:5" x14ac:dyDescent="0.3">
      <c r="B10" s="4" t="s">
        <v>6</v>
      </c>
      <c r="C10" s="5"/>
      <c r="D10" s="4" t="s">
        <v>7</v>
      </c>
      <c r="E10" s="6"/>
    </row>
    <row r="11" spans="1:5" x14ac:dyDescent="0.3">
      <c r="B11" t="s">
        <v>8</v>
      </c>
      <c r="C11" s="7">
        <f>56200000/1.1</f>
        <v>51090909.090909086</v>
      </c>
      <c r="D11" t="s">
        <v>9</v>
      </c>
      <c r="E11" s="8">
        <v>2000000</v>
      </c>
    </row>
    <row r="12" spans="1:5" x14ac:dyDescent="0.3">
      <c r="B12" t="s">
        <v>10</v>
      </c>
      <c r="C12" s="9">
        <f>56200000/11</f>
        <v>5109090.9090909092</v>
      </c>
      <c r="E12" s="8"/>
    </row>
    <row r="13" spans="1:5" x14ac:dyDescent="0.3">
      <c r="B13" t="s">
        <v>11</v>
      </c>
      <c r="C13" s="9">
        <f>2600000/1.1</f>
        <v>2363636.3636363633</v>
      </c>
      <c r="D13" s="10" t="s">
        <v>12</v>
      </c>
      <c r="E13" s="11">
        <f>E11</f>
        <v>2000000</v>
      </c>
    </row>
    <row r="14" spans="1:5" x14ac:dyDescent="0.3">
      <c r="B14" t="s">
        <v>10</v>
      </c>
      <c r="C14" s="9">
        <f>2600000/11</f>
        <v>236363.63636363635</v>
      </c>
      <c r="D14" s="10" t="s">
        <v>13</v>
      </c>
      <c r="E14" s="12">
        <f>C15-E13</f>
        <v>54199999.999999993</v>
      </c>
    </row>
    <row r="15" spans="1:5" x14ac:dyDescent="0.3">
      <c r="B15" s="10" t="s">
        <v>14</v>
      </c>
      <c r="C15" s="13">
        <f>SUM(C11:C12)</f>
        <v>56199999.999999993</v>
      </c>
      <c r="D15" s="10" t="s">
        <v>15</v>
      </c>
      <c r="E15" s="14">
        <f>SUM(E13:E14)</f>
        <v>56199999.999999993</v>
      </c>
    </row>
    <row r="17" spans="2:3" x14ac:dyDescent="0.3">
      <c r="B17" s="15" t="s">
        <v>16</v>
      </c>
      <c r="C17" s="14">
        <f>E14</f>
        <v>54199999.999999993</v>
      </c>
    </row>
  </sheetData>
  <mergeCells count="2">
    <mergeCell ref="B10:C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PP-E1_gustavolesme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2026-04-15T13:41:18Z</dcterms:created>
  <dcterms:modified xsi:type="dcterms:W3CDTF">2026-04-15T13:43:33Z</dcterms:modified>
</cp:coreProperties>
</file>