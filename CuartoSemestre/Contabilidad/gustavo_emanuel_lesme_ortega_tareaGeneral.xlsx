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B:\IIN\4Sem\Repositorio\GLesmePY-V2\CuartoSemestre\Contabilidad\"/>
    </mc:Choice>
  </mc:AlternateContent>
  <xr:revisionPtr revIDLastSave="0" documentId="13_ncr:1_{0960E2D3-8E42-4256-8E71-B89C78894BA4}" xr6:coauthVersionLast="47" xr6:coauthVersionMax="47" xr10:uidLastSave="{00000000-0000-0000-0000-000000000000}"/>
  <bookViews>
    <workbookView xWindow="0" yWindow="0" windowWidth="11520" windowHeight="12360" xr2:uid="{00000000-000D-0000-FFFF-FFFF00000000}"/>
  </bookViews>
  <sheets>
    <sheet name="LIBRO DIARIO" sheetId="1" r:id="rId1"/>
    <sheet name="LIBRO MAYOR" sheetId="2" r:id="rId2"/>
    <sheet name="BG _ER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7" i="2" l="1"/>
  <c r="C77" i="2"/>
  <c r="B77" i="2"/>
  <c r="A77" i="2"/>
  <c r="D76" i="2"/>
  <c r="C76" i="2"/>
  <c r="B76" i="2"/>
  <c r="A75" i="2"/>
  <c r="B75" i="2"/>
  <c r="C75" i="2"/>
  <c r="D75" i="2"/>
  <c r="D74" i="2"/>
  <c r="C74" i="2"/>
  <c r="B74" i="2"/>
  <c r="D73" i="2"/>
  <c r="C73" i="2"/>
  <c r="B73" i="2"/>
  <c r="D72" i="2"/>
  <c r="C72" i="2"/>
  <c r="B72" i="2"/>
  <c r="A72" i="2"/>
  <c r="D70" i="2"/>
  <c r="D64" i="2"/>
  <c r="C64" i="2"/>
  <c r="B64" i="2"/>
  <c r="A64" i="2"/>
  <c r="D62" i="2"/>
  <c r="B56" i="2"/>
  <c r="D54" i="2"/>
  <c r="E48" i="2"/>
  <c r="E56" i="2" s="1"/>
  <c r="A48" i="2"/>
  <c r="D46" i="2"/>
  <c r="D40" i="2"/>
  <c r="D32" i="2"/>
  <c r="C32" i="2"/>
  <c r="C40" i="2" s="1"/>
  <c r="C48" i="2" s="1"/>
  <c r="C56" i="2" s="1"/>
  <c r="B32" i="2"/>
  <c r="B40" i="2" s="1"/>
  <c r="B48" i="2" s="1"/>
  <c r="E28" i="2"/>
  <c r="E27" i="2"/>
  <c r="C28" i="2"/>
  <c r="C27" i="2"/>
  <c r="C26" i="2"/>
  <c r="B26" i="2"/>
  <c r="B28" i="2" s="1"/>
  <c r="E26" i="2"/>
  <c r="A25" i="2"/>
  <c r="B25" i="2"/>
  <c r="E25" i="2"/>
  <c r="C25" i="2"/>
  <c r="B24" i="2"/>
  <c r="E24" i="2"/>
  <c r="C24" i="2"/>
  <c r="C23" i="2"/>
  <c r="E23" i="2"/>
  <c r="B22" i="2"/>
  <c r="C22" i="2"/>
  <c r="E22" i="2"/>
  <c r="B21" i="2"/>
  <c r="C21" i="2"/>
  <c r="E21" i="2"/>
  <c r="E20" i="2"/>
  <c r="A20" i="2"/>
  <c r="B19" i="2"/>
  <c r="B20" i="2" s="1"/>
  <c r="C19" i="2"/>
  <c r="C20" i="2" s="1"/>
  <c r="E19" i="2"/>
  <c r="E6" i="1"/>
  <c r="A18" i="2"/>
  <c r="C18" i="2"/>
  <c r="B18" i="2"/>
  <c r="C16" i="2"/>
  <c r="C17" i="2" s="1"/>
  <c r="B16" i="2"/>
  <c r="B17" i="2" s="1"/>
  <c r="B15" i="2"/>
  <c r="C15" i="2"/>
  <c r="C14" i="2"/>
  <c r="B14" i="2"/>
  <c r="A14" i="2"/>
  <c r="A13" i="2"/>
  <c r="D11" i="2"/>
  <c r="C5" i="2"/>
  <c r="C13" i="2" s="1"/>
  <c r="B5" i="2"/>
  <c r="B13" i="2" s="1"/>
  <c r="A5" i="2"/>
  <c r="D3" i="2"/>
  <c r="I103" i="1"/>
  <c r="I101" i="1"/>
  <c r="J100" i="1"/>
  <c r="I100" i="1"/>
  <c r="I97" i="1"/>
  <c r="I95" i="1"/>
  <c r="J94" i="1"/>
  <c r="I94" i="1"/>
  <c r="H94" i="1"/>
  <c r="H100" i="1" s="1"/>
  <c r="I91" i="1"/>
  <c r="I89" i="1"/>
  <c r="J88" i="1"/>
  <c r="I88" i="1"/>
  <c r="I85" i="1"/>
  <c r="I84" i="1"/>
  <c r="I83" i="1"/>
  <c r="I80" i="1"/>
  <c r="I79" i="1"/>
  <c r="I78" i="1"/>
  <c r="I75" i="1"/>
  <c r="I74" i="1"/>
  <c r="I73" i="1"/>
  <c r="J69" i="1"/>
  <c r="K70" i="1" s="1"/>
  <c r="I70" i="1"/>
  <c r="I69" i="1"/>
  <c r="I65" i="1"/>
  <c r="I66" i="1" s="1"/>
  <c r="I63" i="1"/>
  <c r="I60" i="1"/>
  <c r="I59" i="1"/>
  <c r="I58" i="1"/>
  <c r="I57" i="1"/>
  <c r="I56" i="1"/>
  <c r="I55" i="1"/>
  <c r="I52" i="1"/>
  <c r="I51" i="1"/>
  <c r="I50" i="1"/>
  <c r="I49" i="1"/>
  <c r="I48" i="1"/>
  <c r="I47" i="1"/>
  <c r="I43" i="1"/>
  <c r="I41" i="1"/>
  <c r="H41" i="1"/>
  <c r="I38" i="1"/>
  <c r="I37" i="1"/>
  <c r="I36" i="1"/>
  <c r="I35" i="1"/>
  <c r="I34" i="1"/>
  <c r="I33" i="1"/>
  <c r="B27" i="2" l="1"/>
  <c r="B7" i="3"/>
  <c r="A7" i="3"/>
  <c r="B6" i="3"/>
  <c r="A6" i="3"/>
  <c r="A5" i="3"/>
  <c r="B5" i="3"/>
  <c r="C101" i="1"/>
  <c r="E100" i="1"/>
  <c r="K102" i="1" s="1"/>
  <c r="C95" i="1"/>
  <c r="E94" i="1"/>
  <c r="K96" i="1" s="1"/>
  <c r="C89" i="1"/>
  <c r="E88" i="1"/>
  <c r="K90" i="1" s="1"/>
  <c r="E89" i="1" l="1"/>
  <c r="K91" i="1" s="1"/>
  <c r="J89" i="1"/>
  <c r="C102" i="1"/>
  <c r="J101" i="1"/>
  <c r="C96" i="1"/>
  <c r="J95" i="1"/>
  <c r="E101" i="1"/>
  <c r="E96" i="1"/>
  <c r="E95" i="1"/>
  <c r="K97" i="1" s="1"/>
  <c r="C90" i="1"/>
  <c r="E90" i="1"/>
  <c r="E102" i="1" l="1"/>
  <c r="K103" i="1"/>
  <c r="E82" i="1"/>
  <c r="C83" i="1"/>
  <c r="J84" i="1" s="1"/>
  <c r="C82" i="1"/>
  <c r="E76" i="1"/>
  <c r="K80" i="1" s="1"/>
  <c r="C77" i="1"/>
  <c r="J79" i="1" s="1"/>
  <c r="C76" i="1"/>
  <c r="J78" i="1" s="1"/>
  <c r="E70" i="1"/>
  <c r="K75" i="1" s="1"/>
  <c r="C71" i="1"/>
  <c r="J74" i="1" s="1"/>
  <c r="C70" i="1"/>
  <c r="J73" i="1" s="1"/>
  <c r="E64" i="1"/>
  <c r="E44" i="1"/>
  <c r="K52" i="1" s="1"/>
  <c r="E43" i="1"/>
  <c r="C46" i="1"/>
  <c r="J50" i="1" s="1"/>
  <c r="C45" i="1"/>
  <c r="J49" i="1" s="1"/>
  <c r="C44" i="1"/>
  <c r="J48" i="1" s="1"/>
  <c r="C43" i="1"/>
  <c r="J47" i="1" s="1"/>
  <c r="D59" i="1"/>
  <c r="B59" i="1"/>
  <c r="I64" i="1" s="1"/>
  <c r="A59" i="1"/>
  <c r="C59" i="1" s="1"/>
  <c r="C58" i="1"/>
  <c r="J63" i="1" s="1"/>
  <c r="A58" i="1"/>
  <c r="E53" i="1"/>
  <c r="K60" i="1" s="1"/>
  <c r="E52" i="1"/>
  <c r="K59" i="1" s="1"/>
  <c r="E51" i="1"/>
  <c r="K58" i="1" s="1"/>
  <c r="C51" i="1"/>
  <c r="J56" i="1" s="1"/>
  <c r="E50" i="1"/>
  <c r="K57" i="1" s="1"/>
  <c r="C50" i="1"/>
  <c r="J55" i="1" s="1"/>
  <c r="D44" i="1"/>
  <c r="D38" i="1"/>
  <c r="I44" i="1" s="1"/>
  <c r="A38" i="1"/>
  <c r="C38" i="1" s="1"/>
  <c r="A37" i="1"/>
  <c r="B38" i="1"/>
  <c r="I42" i="1" s="1"/>
  <c r="C37" i="1"/>
  <c r="J41" i="1" s="1"/>
  <c r="C30" i="1"/>
  <c r="J34" i="1" s="1"/>
  <c r="C29" i="1"/>
  <c r="E32" i="1"/>
  <c r="E31" i="1"/>
  <c r="K37" i="1" s="1"/>
  <c r="E30" i="1"/>
  <c r="K36" i="1" s="1"/>
  <c r="E29" i="1"/>
  <c r="K35" i="1" s="1"/>
  <c r="E33" i="1" l="1"/>
  <c r="K38" i="1" s="1"/>
  <c r="E37" i="1"/>
  <c r="E84" i="1"/>
  <c r="K85" i="1"/>
  <c r="C33" i="1"/>
  <c r="J33" i="1"/>
  <c r="D18" i="2" s="1"/>
  <c r="E47" i="1"/>
  <c r="K51" i="1"/>
  <c r="E38" i="1"/>
  <c r="K44" i="1" s="1"/>
  <c r="J42" i="1"/>
  <c r="E59" i="1"/>
  <c r="K66" i="1" s="1"/>
  <c r="J64" i="1"/>
  <c r="C84" i="1"/>
  <c r="J83" i="1"/>
  <c r="C39" i="1"/>
  <c r="C60" i="1"/>
  <c r="E54" i="1"/>
  <c r="C54" i="1"/>
  <c r="E58" i="1"/>
  <c r="C47" i="1"/>
  <c r="E60" i="1" l="1"/>
  <c r="K65" i="1"/>
  <c r="E39" i="1"/>
  <c r="K43" i="1"/>
  <c r="I29" i="1"/>
  <c r="I28" i="1"/>
  <c r="I27" i="1"/>
  <c r="I26" i="1"/>
  <c r="I25" i="1"/>
  <c r="E23" i="1"/>
  <c r="E26" i="1" s="1"/>
  <c r="D23" i="1"/>
  <c r="I30" i="1" s="1"/>
  <c r="E22" i="1"/>
  <c r="K29" i="1" s="1"/>
  <c r="E16" i="2" s="1"/>
  <c r="C25" i="1"/>
  <c r="J28" i="1" s="1"/>
  <c r="C22" i="1"/>
  <c r="J25" i="1" s="1"/>
  <c r="C23" i="1"/>
  <c r="J26" i="1" s="1"/>
  <c r="C24" i="1"/>
  <c r="J27" i="1" s="1"/>
  <c r="I22" i="1"/>
  <c r="I21" i="1"/>
  <c r="I20" i="1"/>
  <c r="I19" i="1"/>
  <c r="E17" i="1"/>
  <c r="K21" i="1" s="1"/>
  <c r="E15" i="2" s="1"/>
  <c r="C18" i="1"/>
  <c r="J20" i="1" s="1"/>
  <c r="C17" i="1"/>
  <c r="J19" i="1" s="1"/>
  <c r="K16" i="1"/>
  <c r="E14" i="2" s="1"/>
  <c r="K10" i="1"/>
  <c r="I16" i="1"/>
  <c r="I15" i="1"/>
  <c r="I14" i="1"/>
  <c r="E14" i="1"/>
  <c r="C13" i="1"/>
  <c r="J15" i="1" s="1"/>
  <c r="C12" i="1"/>
  <c r="J14" i="1" s="1"/>
  <c r="J9" i="1"/>
  <c r="J8" i="1"/>
  <c r="J6" i="1"/>
  <c r="D13" i="2" s="1"/>
  <c r="J5" i="1"/>
  <c r="C10" i="1"/>
  <c r="E7" i="1"/>
  <c r="J107" i="1" l="1"/>
  <c r="D5" i="2"/>
  <c r="F5" i="2" s="1"/>
  <c r="K30" i="1"/>
  <c r="E17" i="2" s="1"/>
  <c r="C19" i="1"/>
  <c r="C26" i="1"/>
  <c r="C14" i="1"/>
  <c r="E8" i="1"/>
  <c r="K11" i="1" s="1"/>
  <c r="E18" i="1"/>
  <c r="E10" i="1" l="1"/>
  <c r="E19" i="1"/>
  <c r="K22" i="1"/>
  <c r="K107" i="1" s="1"/>
</calcChain>
</file>

<file path=xl/sharedStrings.xml><?xml version="1.0" encoding="utf-8"?>
<sst xmlns="http://schemas.openxmlformats.org/spreadsheetml/2006/main" count="238" uniqueCount="68">
  <si>
    <t>LIBRO DIARIO</t>
  </si>
  <si>
    <t>NRO</t>
  </si>
  <si>
    <t>FECHA</t>
  </si>
  <si>
    <t>CUENTAS CONTABLES</t>
  </si>
  <si>
    <t>DEBE</t>
  </si>
  <si>
    <t>HABER</t>
  </si>
  <si>
    <t>Cálculo Auxiliar en Esquema T</t>
  </si>
  <si>
    <t>FORMATO DEL LIBRO DIARIO</t>
  </si>
  <si>
    <t>FORMATO DEL LIBRO MAYOR</t>
  </si>
  <si>
    <t>SALDO</t>
  </si>
  <si>
    <t>DESCRIPCIÓN</t>
  </si>
  <si>
    <t xml:space="preserve">FOLIO: </t>
  </si>
  <si>
    <t>CUENTA:</t>
  </si>
  <si>
    <t>BALANCE DE COMPROBACIÓN DE SUMAS Y SALDOS - BALANCE GENERAL &amp; ESTADO DE RESULTADOS</t>
  </si>
  <si>
    <t>Nro.</t>
  </si>
  <si>
    <t>CUENTA CONTABLE</t>
  </si>
  <si>
    <t>SUMAS</t>
  </si>
  <si>
    <t>SALDOS</t>
  </si>
  <si>
    <t>DEUDOR</t>
  </si>
  <si>
    <t>ACREEDOR</t>
  </si>
  <si>
    <t>BALANCE GENERAL</t>
  </si>
  <si>
    <t>ESTADO DE RESULTADOS</t>
  </si>
  <si>
    <t>ACTIVO</t>
  </si>
  <si>
    <t>PASIVO/PN</t>
  </si>
  <si>
    <t>RES. NEGATIVO</t>
  </si>
  <si>
    <t>RES. POSITIVO</t>
  </si>
  <si>
    <t>BG:Balance General</t>
  </si>
  <si>
    <t>ER:Estado de Resultado</t>
  </si>
  <si>
    <t>FONDO FIJO</t>
  </si>
  <si>
    <t>BANCO GNB CTA CTE</t>
  </si>
  <si>
    <t>BANCO ITAU PLAZO FIJO</t>
  </si>
  <si>
    <t>DOCUMENTOS A COBRAR</t>
  </si>
  <si>
    <t>DEUDAS BANCARIAS</t>
  </si>
  <si>
    <t>PASIVO</t>
  </si>
  <si>
    <t>CAPITAL</t>
  </si>
  <si>
    <t>ASIENTO DE APERTURA DE EMPRESA POLITEC</t>
  </si>
  <si>
    <t>COMPRA</t>
  </si>
  <si>
    <t>MUEBLES Y UTILES</t>
  </si>
  <si>
    <t>IVA CF 10%</t>
  </si>
  <si>
    <t>COMPRA DE MOBILIARIOS PARA USO DE LA EMPRESA</t>
  </si>
  <si>
    <t>MEDIOS DE TRANSPORTE</t>
  </si>
  <si>
    <t>COMPRA DE CAMIONETA NISSAN SEGÚN FACTURA NRO.003-002-0016559</t>
  </si>
  <si>
    <t>MERCADERIAS</t>
  </si>
  <si>
    <t>COMPRA DE MERCADERIAS</t>
  </si>
  <si>
    <t>VENTA</t>
  </si>
  <si>
    <t>VENTA DE MERCADERIAS</t>
  </si>
  <si>
    <t>IVA DF 10%</t>
  </si>
  <si>
    <t>COSTO</t>
  </si>
  <si>
    <t>COSTO DE VENTA</t>
  </si>
  <si>
    <t>IMPUESTOS, TASAS Y PATENTES</t>
  </si>
  <si>
    <t>ACREEDORES VARIOS</t>
  </si>
  <si>
    <t>LUZ, AGUA, TELEFONO A PAGAR</t>
  </si>
  <si>
    <t>HONORARIOS PROFESIONALES</t>
  </si>
  <si>
    <t>SUELDOS Y JORNALES</t>
  </si>
  <si>
    <t>BANCO CTA CTE</t>
  </si>
  <si>
    <t>APORTE PATRONAL</t>
  </si>
  <si>
    <t>IPS A PAGAR</t>
  </si>
  <si>
    <t>*</t>
  </si>
  <si>
    <t>COSTEO DE VENTA</t>
  </si>
  <si>
    <t>COMPRA DE MERCADERIAS A CONTADO</t>
  </si>
  <si>
    <t>PAGO DE PATENTE COMERCIAL</t>
  </si>
  <si>
    <t>COMPRA DE PRODUCTOS DE LIMPIEZA</t>
  </si>
  <si>
    <t>PAGO DE SERVICIOS DE INTERNET</t>
  </si>
  <si>
    <t>PAGO DE HONORARIOS A CONTADOR</t>
  </si>
  <si>
    <t>SALARIO DE KARINA DUARTE</t>
  </si>
  <si>
    <t>INTERES A PAGAR</t>
  </si>
  <si>
    <t>SALARIO DE NELSON KANASAWA</t>
  </si>
  <si>
    <t>SALARIO DE JUAN FIGUEROA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</si>
</sst>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₲&quot;\ * #,##0_ ;_ &quot;₲&quot;\ * \-#,##0_ ;_ &quot;₲&quot;\ * &quot;-&quot;_ ;_ @_ "/>
    <numFmt numFmtId="41" formatCode="_ * #,##0_ ;_ * \-#,##0_ ;_ * &quot;-&quot;_ ;_ @_ "/>
  </numFmts>
  <fonts count="11" x14ac:knownFonts="1"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6"/>
      <color theme="1"/>
      <name val="Aptos"/>
      <family val="2"/>
    </font>
    <font>
      <sz val="12"/>
      <color theme="1"/>
      <name val="Aptos"/>
      <family val="2"/>
    </font>
    <font>
      <b/>
      <i/>
      <sz val="16"/>
      <color theme="1"/>
      <name val="Aptos"/>
    </font>
    <font>
      <i/>
      <sz val="12"/>
      <color theme="1"/>
      <name val="Aptos"/>
    </font>
    <font>
      <b/>
      <sz val="12"/>
      <color theme="1"/>
      <name val="Aptos"/>
    </font>
    <font>
      <b/>
      <sz val="11"/>
      <color theme="1"/>
      <name val="Consolas"/>
      <family val="3"/>
    </font>
    <font>
      <sz val="11"/>
      <color theme="1"/>
      <name val="Consolas"/>
      <family val="3"/>
    </font>
    <font>
      <b/>
      <i/>
      <sz val="11"/>
      <color theme="1"/>
      <name val="Consolas"/>
      <family val="3"/>
    </font>
    <font>
      <b/>
      <i/>
      <sz val="16"/>
      <color theme="1"/>
      <name val="Aptos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1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0" fontId="3" fillId="0" borderId="0"/>
  </cellStyleXfs>
  <cellXfs count="86">
    <xf numFmtId="0" fontId="0" fillId="0" borderId="0" xfId="0"/>
    <xf numFmtId="0" fontId="0" fillId="0" borderId="1" xfId="0" applyBorder="1"/>
    <xf numFmtId="0" fontId="2" fillId="6" borderId="0" xfId="0" applyFont="1" applyFill="1" applyAlignment="1">
      <alignment horizontal="center"/>
    </xf>
    <xf numFmtId="0" fontId="0" fillId="0" borderId="10" xfId="0" applyBorder="1"/>
    <xf numFmtId="0" fontId="1" fillId="5" borderId="11" xfId="0" applyFont="1" applyFill="1" applyBorder="1"/>
    <xf numFmtId="0" fontId="1" fillId="5" borderId="12" xfId="0" applyFont="1" applyFill="1" applyBorder="1"/>
    <xf numFmtId="0" fontId="1" fillId="5" borderId="13" xfId="0" applyFont="1" applyFill="1" applyBorder="1"/>
    <xf numFmtId="0" fontId="4" fillId="6" borderId="0" xfId="0" applyFont="1" applyFill="1" applyAlignment="1">
      <alignment horizontal="right"/>
    </xf>
    <xf numFmtId="0" fontId="4" fillId="6" borderId="0" xfId="0" applyFont="1" applyFill="1" applyAlignment="1">
      <alignment horizontal="left"/>
    </xf>
    <xf numFmtId="0" fontId="4" fillId="6" borderId="0" xfId="0" applyFont="1" applyFill="1" applyAlignment="1">
      <alignment horizontal="center"/>
    </xf>
    <xf numFmtId="0" fontId="5" fillId="0" borderId="0" xfId="0" applyFont="1"/>
    <xf numFmtId="0" fontId="2" fillId="4" borderId="0" xfId="0" applyFont="1" applyFill="1"/>
    <xf numFmtId="0" fontId="0" fillId="4" borderId="0" xfId="0" applyFill="1"/>
    <xf numFmtId="0" fontId="6" fillId="0" borderId="2" xfId="0" applyFont="1" applyBorder="1"/>
    <xf numFmtId="0" fontId="6" fillId="0" borderId="8" xfId="0" applyFont="1" applyBorder="1"/>
    <xf numFmtId="41" fontId="0" fillId="0" borderId="10" xfId="1" applyFont="1" applyBorder="1"/>
    <xf numFmtId="41" fontId="0" fillId="0" borderId="1" xfId="1" applyFont="1" applyBorder="1"/>
    <xf numFmtId="0" fontId="6" fillId="0" borderId="1" xfId="0" applyFont="1" applyBorder="1"/>
    <xf numFmtId="0" fontId="7" fillId="3" borderId="0" xfId="0" applyFont="1" applyFill="1"/>
    <xf numFmtId="42" fontId="8" fillId="3" borderId="0" xfId="2" applyFont="1" applyFill="1"/>
    <xf numFmtId="0" fontId="8" fillId="3" borderId="0" xfId="0" applyFont="1" applyFill="1"/>
    <xf numFmtId="0" fontId="8" fillId="0" borderId="0" xfId="0" applyFont="1"/>
    <xf numFmtId="42" fontId="8" fillId="0" borderId="0" xfId="2" applyFont="1"/>
    <xf numFmtId="0" fontId="7" fillId="0" borderId="1" xfId="0" applyFont="1" applyBorder="1"/>
    <xf numFmtId="42" fontId="7" fillId="0" borderId="1" xfId="2" applyFont="1" applyBorder="1"/>
    <xf numFmtId="0" fontId="8" fillId="0" borderId="5" xfId="0" applyFont="1" applyBorder="1"/>
    <xf numFmtId="42" fontId="7" fillId="0" borderId="0" xfId="2" applyFont="1"/>
    <xf numFmtId="0" fontId="1" fillId="5" borderId="0" xfId="0" applyFont="1" applyFill="1"/>
    <xf numFmtId="14" fontId="0" fillId="0" borderId="10" xfId="0" applyNumberFormat="1" applyBorder="1"/>
    <xf numFmtId="14" fontId="0" fillId="0" borderId="1" xfId="0" applyNumberFormat="1" applyBorder="1"/>
    <xf numFmtId="42" fontId="0" fillId="0" borderId="10" xfId="0" applyNumberFormat="1" applyBorder="1"/>
    <xf numFmtId="0" fontId="6" fillId="3" borderId="8" xfId="0" applyFont="1" applyFill="1" applyBorder="1"/>
    <xf numFmtId="0" fontId="6" fillId="3" borderId="2" xfId="0" applyFont="1" applyFill="1" applyBorder="1"/>
    <xf numFmtId="41" fontId="0" fillId="0" borderId="1" xfId="0" applyNumberFormat="1" applyBorder="1"/>
    <xf numFmtId="41" fontId="0" fillId="3" borderId="1" xfId="0" applyNumberFormat="1" applyFill="1" applyBorder="1"/>
    <xf numFmtId="41" fontId="0" fillId="11" borderId="1" xfId="0" applyNumberFormat="1" applyFill="1" applyBorder="1"/>
    <xf numFmtId="41" fontId="0" fillId="12" borderId="1" xfId="0" applyNumberFormat="1" applyFill="1" applyBorder="1"/>
    <xf numFmtId="41" fontId="0" fillId="0" borderId="0" xfId="0" applyNumberFormat="1"/>
    <xf numFmtId="0" fontId="7" fillId="0" borderId="5" xfId="0" applyFont="1" applyBorder="1"/>
    <xf numFmtId="0" fontId="7" fillId="7" borderId="5" xfId="0" applyFont="1" applyFill="1" applyBorder="1"/>
    <xf numFmtId="14" fontId="8" fillId="0" borderId="0" xfId="0" applyNumberFormat="1" applyFont="1"/>
    <xf numFmtId="0" fontId="9" fillId="0" borderId="0" xfId="0" applyFont="1"/>
    <xf numFmtId="0" fontId="8" fillId="8" borderId="0" xfId="0" applyFont="1" applyFill="1"/>
    <xf numFmtId="42" fontId="8" fillId="8" borderId="0" xfId="2" applyFont="1" applyFill="1"/>
    <xf numFmtId="0" fontId="3" fillId="0" borderId="0" xfId="3"/>
    <xf numFmtId="42" fontId="3" fillId="0" borderId="0" xfId="2" applyFont="1"/>
    <xf numFmtId="0" fontId="3" fillId="0" borderId="5" xfId="3" applyBorder="1"/>
    <xf numFmtId="0" fontId="3" fillId="0" borderId="0" xfId="0" applyFont="1"/>
    <xf numFmtId="42" fontId="1" fillId="0" borderId="0" xfId="2" applyFont="1"/>
    <xf numFmtId="0" fontId="10" fillId="6" borderId="0" xfId="0" applyFont="1" applyFill="1" applyAlignment="1">
      <alignment horizontal="left"/>
    </xf>
    <xf numFmtId="0" fontId="3" fillId="2" borderId="2" xfId="3" applyFill="1" applyBorder="1" applyAlignment="1">
      <alignment horizontal="center"/>
    </xf>
    <xf numFmtId="0" fontId="3" fillId="2" borderId="6" xfId="3" applyFill="1" applyBorder="1" applyAlignment="1">
      <alignment horizontal="center"/>
    </xf>
    <xf numFmtId="0" fontId="3" fillId="2" borderId="4" xfId="3" applyFill="1" applyBorder="1" applyAlignment="1">
      <alignment horizontal="center"/>
    </xf>
    <xf numFmtId="0" fontId="3" fillId="2" borderId="3" xfId="3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7" fillId="0" borderId="0" xfId="0" applyFont="1" applyAlignment="1">
      <alignment horizontal="left" wrapText="1"/>
    </xf>
    <xf numFmtId="0" fontId="7" fillId="4" borderId="7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6" fillId="3" borderId="14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10" borderId="14" xfId="0" applyFont="1" applyFill="1" applyBorder="1" applyAlignment="1">
      <alignment horizontal="center"/>
    </xf>
    <xf numFmtId="0" fontId="6" fillId="10" borderId="15" xfId="0" applyFont="1" applyFill="1" applyBorder="1" applyAlignment="1">
      <alignment horizontal="center"/>
    </xf>
    <xf numFmtId="0" fontId="6" fillId="9" borderId="14" xfId="0" applyFont="1" applyFill="1" applyBorder="1" applyAlignment="1">
      <alignment horizontal="center"/>
    </xf>
    <xf numFmtId="0" fontId="6" fillId="9" borderId="15" xfId="0" applyFont="1" applyFill="1" applyBorder="1" applyAlignment="1">
      <alignment horizontal="center"/>
    </xf>
    <xf numFmtId="0" fontId="0" fillId="0" borderId="10" xfId="0" applyBorder="1" applyAlignment="1">
      <alignment wrapText="1"/>
    </xf>
    <xf numFmtId="0" fontId="8" fillId="11" borderId="0" xfId="0" applyFont="1" applyFill="1"/>
    <xf numFmtId="42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0" xfId="0" applyBorder="1"/>
    <xf numFmtId="42" fontId="0" fillId="0" borderId="0" xfId="0" applyNumberFormat="1" applyBorder="1"/>
    <xf numFmtId="14" fontId="0" fillId="0" borderId="0" xfId="0" applyNumberFormat="1" applyBorder="1"/>
    <xf numFmtId="42" fontId="8" fillId="0" borderId="0" xfId="0" applyNumberFormat="1" applyFont="1"/>
    <xf numFmtId="0" fontId="0" fillId="0" borderId="0" xfId="0" applyFill="1" applyBorder="1"/>
    <xf numFmtId="0" fontId="2" fillId="6" borderId="0" xfId="0" applyFont="1" applyFill="1" applyAlignment="1">
      <alignment horizontal="center" wrapText="1"/>
    </xf>
    <xf numFmtId="0" fontId="4" fillId="6" borderId="0" xfId="0" applyFont="1" applyFill="1" applyAlignment="1">
      <alignment horizontal="right" wrapText="1"/>
    </xf>
    <xf numFmtId="0" fontId="1" fillId="5" borderId="12" xfId="0" applyFont="1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/>
    <xf numFmtId="42" fontId="0" fillId="0" borderId="0" xfId="0" applyNumberFormat="1"/>
  </cellXfs>
  <cellStyles count="4">
    <cellStyle name="Comma [0]" xfId="1" builtinId="6"/>
    <cellStyle name="Currency [0]" xfId="2" builtinId="7"/>
    <cellStyle name="Normal" xfId="0" builtinId="0"/>
    <cellStyle name="Normal 2" xfId="3" xr:uid="{8C39146F-5E5C-46FE-AE7B-BCC4B8798E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7"/>
  <sheetViews>
    <sheetView tabSelected="1" topLeftCell="F80" zoomScale="70" zoomScaleNormal="70" workbookViewId="0">
      <selection activeCell="I36" sqref="I36"/>
    </sheetView>
  </sheetViews>
  <sheetFormatPr defaultColWidth="11" defaultRowHeight="14.4" x14ac:dyDescent="0.3"/>
  <cols>
    <col min="1" max="1" width="12.81640625" style="22" bestFit="1" customWidth="1"/>
    <col min="2" max="2" width="20.1796875" style="21" bestFit="1" customWidth="1"/>
    <col min="3" max="3" width="17" style="22" bestFit="1" customWidth="1"/>
    <col min="4" max="4" width="15.54296875" style="21" bestFit="1" customWidth="1"/>
    <col min="5" max="5" width="17" style="22" bestFit="1" customWidth="1"/>
    <col min="6" max="6" width="7.6328125" style="21" customWidth="1"/>
    <col min="7" max="7" width="5.6328125" style="21" customWidth="1"/>
    <col min="8" max="8" width="11" style="21"/>
    <col min="9" max="9" width="23.81640625" style="21" customWidth="1"/>
    <col min="10" max="11" width="17" style="22" bestFit="1" customWidth="1"/>
    <col min="12" max="16384" width="11" style="21"/>
  </cols>
  <sheetData>
    <row r="1" spans="1:16" x14ac:dyDescent="0.3">
      <c r="B1" s="18" t="s">
        <v>0</v>
      </c>
      <c r="C1" s="19"/>
      <c r="D1" s="20"/>
      <c r="E1" s="19"/>
      <c r="F1" s="20"/>
    </row>
    <row r="2" spans="1:16" ht="16.5" customHeight="1" x14ac:dyDescent="0.3"/>
    <row r="3" spans="1:16" ht="15" thickBot="1" x14ac:dyDescent="0.35">
      <c r="B3" s="59" t="s">
        <v>6</v>
      </c>
      <c r="C3" s="59"/>
      <c r="D3" s="59"/>
      <c r="E3" s="59"/>
      <c r="F3" s="59"/>
      <c r="G3" s="60" t="s">
        <v>7</v>
      </c>
      <c r="H3" s="60"/>
      <c r="I3" s="60"/>
      <c r="J3" s="60"/>
      <c r="K3" s="60"/>
    </row>
    <row r="4" spans="1:16" ht="15" thickBot="1" x14ac:dyDescent="0.35">
      <c r="B4" s="54" t="s">
        <v>4</v>
      </c>
      <c r="C4" s="57"/>
      <c r="D4" s="58" t="s">
        <v>5</v>
      </c>
      <c r="E4" s="55"/>
      <c r="G4" s="23" t="s">
        <v>1</v>
      </c>
      <c r="H4" s="23" t="s">
        <v>2</v>
      </c>
      <c r="I4" s="23" t="s">
        <v>3</v>
      </c>
      <c r="J4" s="24" t="s">
        <v>4</v>
      </c>
      <c r="K4" s="24" t="s">
        <v>5</v>
      </c>
      <c r="P4" s="21" t="s">
        <v>26</v>
      </c>
    </row>
    <row r="5" spans="1:16" x14ac:dyDescent="0.3">
      <c r="B5" s="21" t="s">
        <v>28</v>
      </c>
      <c r="C5" s="22">
        <v>2500000</v>
      </c>
      <c r="D5" s="25" t="s">
        <v>32</v>
      </c>
      <c r="E5" s="22">
        <v>200000000</v>
      </c>
      <c r="G5" s="21">
        <v>1</v>
      </c>
      <c r="H5" s="40">
        <v>45413</v>
      </c>
      <c r="I5" s="71" t="s">
        <v>28</v>
      </c>
      <c r="J5" s="22">
        <f>C5</f>
        <v>2500000</v>
      </c>
      <c r="P5" s="21" t="s">
        <v>27</v>
      </c>
    </row>
    <row r="6" spans="1:16" x14ac:dyDescent="0.3">
      <c r="B6" s="21" t="s">
        <v>29</v>
      </c>
      <c r="C6" s="22">
        <v>450000000</v>
      </c>
      <c r="D6" s="21" t="s">
        <v>65</v>
      </c>
      <c r="E6" s="77">
        <f>E5*180*12.5/36500</f>
        <v>12328767.12328767</v>
      </c>
      <c r="I6" s="71" t="s">
        <v>29</v>
      </c>
      <c r="J6" s="22">
        <f>C6</f>
        <v>450000000</v>
      </c>
    </row>
    <row r="7" spans="1:16" x14ac:dyDescent="0.3">
      <c r="B7" s="21" t="s">
        <v>30</v>
      </c>
      <c r="C7" s="22">
        <v>100000000</v>
      </c>
      <c r="D7" s="39" t="s">
        <v>33</v>
      </c>
      <c r="E7" s="22">
        <f>E5</f>
        <v>200000000</v>
      </c>
      <c r="I7" s="71"/>
    </row>
    <row r="8" spans="1:16" x14ac:dyDescent="0.3">
      <c r="B8" s="21" t="s">
        <v>31</v>
      </c>
      <c r="C8" s="22">
        <v>1300000</v>
      </c>
      <c r="D8" s="38" t="s">
        <v>34</v>
      </c>
      <c r="E8" s="22">
        <f>C10-E7</f>
        <v>353800000</v>
      </c>
      <c r="I8" s="71" t="s">
        <v>30</v>
      </c>
      <c r="J8" s="22">
        <f>C7</f>
        <v>100000000</v>
      </c>
    </row>
    <row r="9" spans="1:16" x14ac:dyDescent="0.3">
      <c r="C9" s="21"/>
      <c r="I9" s="71" t="s">
        <v>31</v>
      </c>
      <c r="J9" s="22">
        <f>C8</f>
        <v>1300000</v>
      </c>
    </row>
    <row r="10" spans="1:16" ht="15" thickBot="1" x14ac:dyDescent="0.35">
      <c r="C10" s="26">
        <f>SUM(C5:C8)</f>
        <v>553800000</v>
      </c>
      <c r="E10" s="26">
        <f>SUM(E7:E8)</f>
        <v>553800000</v>
      </c>
      <c r="I10" s="71" t="s">
        <v>32</v>
      </c>
      <c r="K10" s="22">
        <f>E5</f>
        <v>200000000</v>
      </c>
    </row>
    <row r="11" spans="1:16" ht="15" thickBot="1" x14ac:dyDescent="0.35">
      <c r="A11" s="22" t="s">
        <v>36</v>
      </c>
      <c r="B11" s="54"/>
      <c r="C11" s="55"/>
      <c r="D11" s="56"/>
      <c r="E11" s="55"/>
      <c r="I11" s="71" t="s">
        <v>34</v>
      </c>
      <c r="K11" s="22">
        <f>E8</f>
        <v>353800000</v>
      </c>
    </row>
    <row r="12" spans="1:16" x14ac:dyDescent="0.3">
      <c r="B12" s="21" t="s">
        <v>37</v>
      </c>
      <c r="C12" s="22">
        <f>2650000/1.1</f>
        <v>2409090.9090909087</v>
      </c>
      <c r="D12" s="25" t="s">
        <v>29</v>
      </c>
      <c r="E12" s="22">
        <v>2650000</v>
      </c>
      <c r="I12" s="41" t="s">
        <v>35</v>
      </c>
    </row>
    <row r="13" spans="1:16" x14ac:dyDescent="0.3">
      <c r="B13" s="21" t="s">
        <v>38</v>
      </c>
      <c r="C13" s="22">
        <f>2650000/11</f>
        <v>240909.09090909091</v>
      </c>
      <c r="D13" s="25"/>
      <c r="G13" s="42"/>
      <c r="H13" s="42"/>
      <c r="I13" s="42"/>
      <c r="J13" s="43"/>
      <c r="K13" s="43"/>
    </row>
    <row r="14" spans="1:16" x14ac:dyDescent="0.3">
      <c r="C14" s="26">
        <f>SUM(C12:C13)</f>
        <v>2649999.9999999995</v>
      </c>
      <c r="D14" s="25"/>
      <c r="E14" s="26">
        <f>SUM(E12:E13)</f>
        <v>2650000</v>
      </c>
      <c r="G14" s="21">
        <v>2</v>
      </c>
      <c r="H14" s="40">
        <v>45414</v>
      </c>
      <c r="I14" s="71" t="str">
        <f>B12</f>
        <v>MUEBLES Y UTILES</v>
      </c>
      <c r="J14" s="22">
        <f>C12</f>
        <v>2409090.9090909087</v>
      </c>
    </row>
    <row r="15" spans="1:16" ht="15" thickBot="1" x14ac:dyDescent="0.35">
      <c r="I15" s="71" t="str">
        <f>B13</f>
        <v>IVA CF 10%</v>
      </c>
      <c r="J15" s="22">
        <f>C13</f>
        <v>240909.09090909091</v>
      </c>
    </row>
    <row r="16" spans="1:16" ht="15" thickBot="1" x14ac:dyDescent="0.35">
      <c r="A16" s="22" t="s">
        <v>36</v>
      </c>
      <c r="B16" s="54"/>
      <c r="C16" s="55"/>
      <c r="D16" s="56"/>
      <c r="E16" s="55"/>
      <c r="I16" s="71" t="str">
        <f>D12</f>
        <v>BANCO GNB CTA CTE</v>
      </c>
      <c r="K16" s="22">
        <f>E12</f>
        <v>2650000</v>
      </c>
    </row>
    <row r="17" spans="1:11" x14ac:dyDescent="0.3">
      <c r="B17" s="21" t="s">
        <v>40</v>
      </c>
      <c r="C17" s="22">
        <f>47000000/1.1</f>
        <v>42727272.727272727</v>
      </c>
      <c r="D17" s="25" t="s">
        <v>29</v>
      </c>
      <c r="E17" s="22">
        <f>47000000/2</f>
        <v>23500000</v>
      </c>
      <c r="I17" s="41" t="s">
        <v>39</v>
      </c>
    </row>
    <row r="18" spans="1:11" x14ac:dyDescent="0.3">
      <c r="B18" s="21" t="s">
        <v>38</v>
      </c>
      <c r="C18" s="22">
        <f>47000000/11</f>
        <v>4272727.2727272725</v>
      </c>
      <c r="D18" s="25" t="s">
        <v>50</v>
      </c>
      <c r="E18" s="22">
        <f>E17</f>
        <v>23500000</v>
      </c>
      <c r="G18" s="42"/>
      <c r="H18" s="42"/>
      <c r="I18" s="42"/>
      <c r="J18" s="43"/>
      <c r="K18" s="43"/>
    </row>
    <row r="19" spans="1:11" x14ac:dyDescent="0.3">
      <c r="C19" s="26">
        <f>SUM(C17:C18)</f>
        <v>47000000</v>
      </c>
      <c r="D19" s="25"/>
      <c r="E19" s="26">
        <f>SUM(E17:E18)</f>
        <v>47000000</v>
      </c>
      <c r="G19" s="21">
        <v>3</v>
      </c>
      <c r="H19" s="40">
        <v>45415</v>
      </c>
      <c r="I19" s="21" t="str">
        <f>B17</f>
        <v>MEDIOS DE TRANSPORTE</v>
      </c>
      <c r="J19" s="22">
        <f>C17</f>
        <v>42727272.727272727</v>
      </c>
    </row>
    <row r="20" spans="1:11" ht="15" thickBot="1" x14ac:dyDescent="0.35">
      <c r="I20" s="71" t="str">
        <f>B18</f>
        <v>IVA CF 10%</v>
      </c>
      <c r="J20" s="22">
        <f>C18</f>
        <v>4272727.2727272725</v>
      </c>
    </row>
    <row r="21" spans="1:11" ht="15" thickBot="1" x14ac:dyDescent="0.35">
      <c r="A21" s="22" t="s">
        <v>36</v>
      </c>
      <c r="B21" s="54"/>
      <c r="C21" s="55"/>
      <c r="D21" s="56"/>
      <c r="E21" s="55"/>
      <c r="I21" s="71" t="str">
        <f>D17</f>
        <v>BANCO GNB CTA CTE</v>
      </c>
      <c r="K21" s="22">
        <f>E17</f>
        <v>23500000</v>
      </c>
    </row>
    <row r="22" spans="1:11" x14ac:dyDescent="0.3">
      <c r="A22" s="22">
        <v>5900000</v>
      </c>
      <c r="B22" s="21" t="s">
        <v>42</v>
      </c>
      <c r="C22" s="22">
        <f>A22*35/1.1</f>
        <v>187727272.72727272</v>
      </c>
      <c r="D22" s="25" t="s">
        <v>29</v>
      </c>
      <c r="E22" s="22">
        <f>35*A22</f>
        <v>206500000</v>
      </c>
      <c r="I22" s="21" t="str">
        <f>D18</f>
        <v>ACREEDORES VARIOS</v>
      </c>
      <c r="K22" s="22">
        <f>E18</f>
        <v>23500000</v>
      </c>
    </row>
    <row r="23" spans="1:11" x14ac:dyDescent="0.3">
      <c r="B23" s="21" t="s">
        <v>38</v>
      </c>
      <c r="C23" s="22">
        <f>A22*35/11</f>
        <v>18772727.272727273</v>
      </c>
      <c r="D23" s="25" t="str">
        <f>D22</f>
        <v>BANCO GNB CTA CTE</v>
      </c>
      <c r="E23" s="22">
        <f>A24*30</f>
        <v>18000000</v>
      </c>
      <c r="I23" s="41" t="s">
        <v>41</v>
      </c>
    </row>
    <row r="24" spans="1:11" x14ac:dyDescent="0.3">
      <c r="A24" s="22">
        <v>600000</v>
      </c>
      <c r="B24" s="21" t="s">
        <v>42</v>
      </c>
      <c r="C24" s="22">
        <f>30*A24/1.1</f>
        <v>16363636.363636361</v>
      </c>
      <c r="D24" s="25"/>
      <c r="G24" s="42"/>
      <c r="H24" s="42"/>
      <c r="I24" s="42"/>
      <c r="J24" s="43"/>
      <c r="K24" s="43"/>
    </row>
    <row r="25" spans="1:11" x14ac:dyDescent="0.3">
      <c r="B25" s="21" t="s">
        <v>38</v>
      </c>
      <c r="C25" s="22">
        <f>A24*30/11</f>
        <v>1636363.6363636365</v>
      </c>
      <c r="G25" s="21">
        <v>4</v>
      </c>
      <c r="H25" s="40">
        <v>45416</v>
      </c>
      <c r="I25" s="21" t="str">
        <f t="shared" ref="I25:J28" si="0">B22</f>
        <v>MERCADERIAS</v>
      </c>
      <c r="J25" s="22">
        <f t="shared" si="0"/>
        <v>187727272.72727272</v>
      </c>
    </row>
    <row r="26" spans="1:11" x14ac:dyDescent="0.3">
      <c r="C26" s="26">
        <f>SUM(C22:C25)</f>
        <v>224500000</v>
      </c>
      <c r="E26" s="26">
        <f>SUM(E22:E25)</f>
        <v>224500000</v>
      </c>
      <c r="F26" s="21" t="s">
        <v>57</v>
      </c>
      <c r="I26" s="71" t="str">
        <f t="shared" si="0"/>
        <v>IVA CF 10%</v>
      </c>
      <c r="J26" s="22">
        <f t="shared" si="0"/>
        <v>18772727.272727273</v>
      </c>
    </row>
    <row r="27" spans="1:11" ht="15" thickBot="1" x14ac:dyDescent="0.35">
      <c r="I27" s="21" t="str">
        <f t="shared" si="0"/>
        <v>MERCADERIAS</v>
      </c>
      <c r="J27" s="22">
        <f t="shared" si="0"/>
        <v>16363636.363636361</v>
      </c>
    </row>
    <row r="28" spans="1:11" ht="15" thickBot="1" x14ac:dyDescent="0.35">
      <c r="A28" s="22" t="s">
        <v>44</v>
      </c>
      <c r="B28" s="54"/>
      <c r="C28" s="55"/>
      <c r="D28" s="56"/>
      <c r="E28" s="55"/>
      <c r="I28" s="71" t="str">
        <f t="shared" si="0"/>
        <v>IVA CF 10%</v>
      </c>
      <c r="J28" s="22">
        <f t="shared" si="0"/>
        <v>1636363.6363636365</v>
      </c>
    </row>
    <row r="29" spans="1:11" x14ac:dyDescent="0.3">
      <c r="A29" s="22">
        <v>6800000</v>
      </c>
      <c r="B29" s="21" t="s">
        <v>29</v>
      </c>
      <c r="C29" s="22">
        <f>(A29*A30+A31*A32)*0.4</f>
        <v>103120000</v>
      </c>
      <c r="D29" s="25" t="s">
        <v>45</v>
      </c>
      <c r="E29" s="22">
        <f>A29*A30/1.1</f>
        <v>216363636.36363634</v>
      </c>
      <c r="I29" s="71" t="str">
        <f>D22</f>
        <v>BANCO GNB CTA CTE</v>
      </c>
      <c r="K29" s="22">
        <f>E22</f>
        <v>206500000</v>
      </c>
    </row>
    <row r="30" spans="1:11" x14ac:dyDescent="0.3">
      <c r="A30" s="22">
        <v>35</v>
      </c>
      <c r="B30" s="21" t="s">
        <v>31</v>
      </c>
      <c r="C30" s="22">
        <f>(A29*A30+A31*A32)*0.6</f>
        <v>154680000</v>
      </c>
      <c r="D30" s="25" t="s">
        <v>46</v>
      </c>
      <c r="E30" s="22">
        <f>A29*A30/11</f>
        <v>21636363.636363637</v>
      </c>
      <c r="I30" s="71" t="str">
        <f>D23</f>
        <v>BANCO GNB CTA CTE</v>
      </c>
      <c r="K30" s="22">
        <f>E23</f>
        <v>18000000</v>
      </c>
    </row>
    <row r="31" spans="1:11" x14ac:dyDescent="0.3">
      <c r="A31" s="22">
        <v>900000</v>
      </c>
      <c r="D31" s="25" t="s">
        <v>45</v>
      </c>
      <c r="E31" s="22">
        <f>A31*A32/1.1</f>
        <v>18000000</v>
      </c>
      <c r="I31" s="41" t="s">
        <v>43</v>
      </c>
    </row>
    <row r="32" spans="1:11" x14ac:dyDescent="0.3">
      <c r="A32" s="22">
        <v>22</v>
      </c>
      <c r="D32" s="21" t="s">
        <v>46</v>
      </c>
      <c r="E32" s="22">
        <f>A31*A32/11</f>
        <v>1800000</v>
      </c>
      <c r="G32" s="42"/>
      <c r="H32" s="42"/>
      <c r="I32" s="42"/>
      <c r="J32" s="43"/>
      <c r="K32" s="43"/>
    </row>
    <row r="33" spans="1:11" x14ac:dyDescent="0.3">
      <c r="C33" s="26">
        <f>SUM(C29:C32)</f>
        <v>257800000</v>
      </c>
      <c r="E33" s="26">
        <f>SUM(E29:E32)</f>
        <v>257799999.99999997</v>
      </c>
      <c r="G33" s="21">
        <v>5</v>
      </c>
      <c r="H33" s="40">
        <v>45418</v>
      </c>
      <c r="I33" s="71" t="str">
        <f>B29</f>
        <v>BANCO GNB CTA CTE</v>
      </c>
      <c r="J33" s="22">
        <f>C29</f>
        <v>103120000</v>
      </c>
    </row>
    <row r="34" spans="1:11" x14ac:dyDescent="0.3">
      <c r="I34" s="21" t="str">
        <f>B30</f>
        <v>DOCUMENTOS A COBRAR</v>
      </c>
      <c r="J34" s="22">
        <f>C30</f>
        <v>154680000</v>
      </c>
    </row>
    <row r="35" spans="1:11" ht="15" thickBot="1" x14ac:dyDescent="0.35">
      <c r="I35" s="21" t="str">
        <f>D29</f>
        <v>VENTA DE MERCADERIAS</v>
      </c>
      <c r="K35" s="22">
        <f>E29</f>
        <v>216363636.36363634</v>
      </c>
    </row>
    <row r="36" spans="1:11" ht="15" thickBot="1" x14ac:dyDescent="0.35">
      <c r="A36" s="22" t="s">
        <v>47</v>
      </c>
      <c r="B36" s="54"/>
      <c r="C36" s="55"/>
      <c r="D36" s="56"/>
      <c r="E36" s="55"/>
      <c r="I36" s="21" t="str">
        <f>D30</f>
        <v>IVA DF 10%</v>
      </c>
      <c r="K36" s="22">
        <f>E30</f>
        <v>21636363.636363637</v>
      </c>
    </row>
    <row r="37" spans="1:11" x14ac:dyDescent="0.3">
      <c r="A37" s="22">
        <f>A22/1.1</f>
        <v>5363636.3636363633</v>
      </c>
      <c r="B37" s="21" t="s">
        <v>48</v>
      </c>
      <c r="C37" s="22">
        <f>A30*A22/1.1</f>
        <v>187727272.72727272</v>
      </c>
      <c r="D37" s="25" t="s">
        <v>42</v>
      </c>
      <c r="E37" s="22">
        <f>C37</f>
        <v>187727272.72727272</v>
      </c>
      <c r="I37" s="21" t="str">
        <f>D31</f>
        <v>VENTA DE MERCADERIAS</v>
      </c>
      <c r="K37" s="22">
        <f>E31</f>
        <v>18000000</v>
      </c>
    </row>
    <row r="38" spans="1:11" x14ac:dyDescent="0.3">
      <c r="A38" s="22">
        <f>A24/1.1</f>
        <v>545454.54545454541</v>
      </c>
      <c r="B38" s="21" t="str">
        <f>B37</f>
        <v>COSTO DE VENTA</v>
      </c>
      <c r="C38" s="22">
        <f>A32*A38</f>
        <v>12000000</v>
      </c>
      <c r="D38" s="25" t="str">
        <f>D37</f>
        <v>MERCADERIAS</v>
      </c>
      <c r="E38" s="22">
        <f>C38</f>
        <v>12000000</v>
      </c>
      <c r="I38" s="21" t="str">
        <f>D32</f>
        <v>IVA DF 10%</v>
      </c>
      <c r="K38" s="22">
        <f>E33</f>
        <v>257799999.99999997</v>
      </c>
    </row>
    <row r="39" spans="1:11" x14ac:dyDescent="0.3">
      <c r="C39" s="26">
        <f>SUM(C37:C38)</f>
        <v>199727272.72727272</v>
      </c>
      <c r="D39" s="25"/>
      <c r="E39" s="26">
        <f>SUM(E37:E38)</f>
        <v>199727272.72727272</v>
      </c>
      <c r="I39" s="41" t="s">
        <v>45</v>
      </c>
    </row>
    <row r="40" spans="1:11" x14ac:dyDescent="0.3">
      <c r="G40" s="42"/>
      <c r="H40" s="42"/>
      <c r="I40" s="42"/>
      <c r="J40" s="43"/>
      <c r="K40" s="43"/>
    </row>
    <row r="41" spans="1:11" ht="15" thickBot="1" x14ac:dyDescent="0.35">
      <c r="G41" s="21">
        <v>6</v>
      </c>
      <c r="H41" s="40">
        <f>H33</f>
        <v>45418</v>
      </c>
      <c r="I41" s="21" t="str">
        <f>B37</f>
        <v>COSTO DE VENTA</v>
      </c>
      <c r="J41" s="22">
        <f>C37</f>
        <v>187727272.72727272</v>
      </c>
    </row>
    <row r="42" spans="1:11" ht="15" thickBot="1" x14ac:dyDescent="0.35">
      <c r="A42" s="22" t="s">
        <v>36</v>
      </c>
      <c r="B42" s="54"/>
      <c r="C42" s="55"/>
      <c r="D42" s="56"/>
      <c r="E42" s="55"/>
      <c r="I42" s="21" t="str">
        <f>B38</f>
        <v>COSTO DE VENTA</v>
      </c>
      <c r="J42" s="22">
        <f>C38</f>
        <v>12000000</v>
      </c>
    </row>
    <row r="43" spans="1:11" x14ac:dyDescent="0.3">
      <c r="A43" s="22">
        <v>5900000</v>
      </c>
      <c r="B43" s="21" t="s">
        <v>42</v>
      </c>
      <c r="C43" s="22">
        <f>A43*A44/1.1</f>
        <v>53636363.636363633</v>
      </c>
      <c r="D43" s="25" t="s">
        <v>29</v>
      </c>
      <c r="E43" s="22">
        <f>A43*A44</f>
        <v>59000000</v>
      </c>
      <c r="I43" s="21" t="str">
        <f>D37</f>
        <v>MERCADERIAS</v>
      </c>
      <c r="K43" s="22">
        <f>E37</f>
        <v>187727272.72727272</v>
      </c>
    </row>
    <row r="44" spans="1:11" x14ac:dyDescent="0.3">
      <c r="A44" s="22">
        <v>10</v>
      </c>
      <c r="B44" s="21" t="s">
        <v>38</v>
      </c>
      <c r="C44" s="22">
        <f>A43*A44/11</f>
        <v>5363636.3636363633</v>
      </c>
      <c r="D44" s="25" t="str">
        <f>D43</f>
        <v>BANCO GNB CTA CTE</v>
      </c>
      <c r="E44" s="22">
        <f>A45*A46</f>
        <v>3000000</v>
      </c>
      <c r="I44" s="21" t="str">
        <f>D38</f>
        <v>MERCADERIAS</v>
      </c>
      <c r="K44" s="22">
        <f>E38</f>
        <v>12000000</v>
      </c>
    </row>
    <row r="45" spans="1:11" x14ac:dyDescent="0.3">
      <c r="A45" s="22">
        <v>600000</v>
      </c>
      <c r="B45" s="21" t="s">
        <v>42</v>
      </c>
      <c r="C45" s="22">
        <f>A45*A46/1.1</f>
        <v>2727272.7272727271</v>
      </c>
      <c r="D45" s="25"/>
      <c r="I45" s="41" t="s">
        <v>58</v>
      </c>
    </row>
    <row r="46" spans="1:11" x14ac:dyDescent="0.3">
      <c r="A46" s="22">
        <v>5</v>
      </c>
      <c r="B46" s="21" t="s">
        <v>38</v>
      </c>
      <c r="C46" s="22">
        <f>A45*A46/11</f>
        <v>272727.27272727271</v>
      </c>
      <c r="G46" s="42"/>
      <c r="H46" s="42"/>
      <c r="I46" s="42"/>
      <c r="J46" s="43"/>
      <c r="K46" s="43"/>
    </row>
    <row r="47" spans="1:11" x14ac:dyDescent="0.3">
      <c r="C47" s="26">
        <f>SUM(C43:C46)</f>
        <v>62000000</v>
      </c>
      <c r="E47" s="26">
        <f>SUM(E43:E46)</f>
        <v>62000000</v>
      </c>
      <c r="G47" s="21">
        <v>7</v>
      </c>
      <c r="H47" s="40">
        <v>45420</v>
      </c>
      <c r="I47" s="21" t="str">
        <f>B43</f>
        <v>MERCADERIAS</v>
      </c>
      <c r="J47" s="22">
        <f>C43</f>
        <v>53636363.636363633</v>
      </c>
    </row>
    <row r="48" spans="1:11" ht="15" thickBot="1" x14ac:dyDescent="0.35">
      <c r="I48" s="21" t="str">
        <f>B44</f>
        <v>IVA CF 10%</v>
      </c>
      <c r="J48" s="22">
        <f>C44</f>
        <v>5363636.3636363633</v>
      </c>
    </row>
    <row r="49" spans="1:11" ht="15" thickBot="1" x14ac:dyDescent="0.35">
      <c r="A49" s="22" t="s">
        <v>44</v>
      </c>
      <c r="B49" s="54"/>
      <c r="C49" s="55"/>
      <c r="D49" s="56"/>
      <c r="E49" s="55"/>
      <c r="I49" s="21" t="str">
        <f>B45</f>
        <v>MERCADERIAS</v>
      </c>
      <c r="J49" s="22">
        <f>C45</f>
        <v>2727272.7272727271</v>
      </c>
    </row>
    <row r="50" spans="1:11" x14ac:dyDescent="0.3">
      <c r="A50" s="22">
        <v>6800000</v>
      </c>
      <c r="B50" s="21" t="s">
        <v>29</v>
      </c>
      <c r="C50" s="22">
        <f>(A50*A51+A52*A53)*0.4</f>
        <v>36240000</v>
      </c>
      <c r="D50" s="25" t="s">
        <v>45</v>
      </c>
      <c r="E50" s="22">
        <f>A50*A51/1.1</f>
        <v>74181818.181818172</v>
      </c>
      <c r="I50" s="21" t="str">
        <f>B46</f>
        <v>IVA CF 10%</v>
      </c>
      <c r="J50" s="22">
        <f>C46</f>
        <v>272727.27272727271</v>
      </c>
    </row>
    <row r="51" spans="1:11" x14ac:dyDescent="0.3">
      <c r="A51" s="22">
        <v>12</v>
      </c>
      <c r="B51" s="21" t="s">
        <v>31</v>
      </c>
      <c r="C51" s="22">
        <f>(A50*A51+A52*A53)*0.6</f>
        <v>54360000</v>
      </c>
      <c r="D51" s="25" t="s">
        <v>46</v>
      </c>
      <c r="E51" s="22">
        <f>A50*A51/11</f>
        <v>7418181.8181818184</v>
      </c>
      <c r="I51" s="71" t="str">
        <f>D43</f>
        <v>BANCO GNB CTA CTE</v>
      </c>
      <c r="K51" s="22">
        <f>E43</f>
        <v>59000000</v>
      </c>
    </row>
    <row r="52" spans="1:11" x14ac:dyDescent="0.3">
      <c r="A52" s="22">
        <v>900000</v>
      </c>
      <c r="D52" s="25" t="s">
        <v>45</v>
      </c>
      <c r="E52" s="22">
        <f>A52*A53/1.1</f>
        <v>8181818.1818181807</v>
      </c>
      <c r="I52" s="71" t="str">
        <f>I51</f>
        <v>BANCO GNB CTA CTE</v>
      </c>
      <c r="K52" s="22">
        <f>E44</f>
        <v>3000000</v>
      </c>
    </row>
    <row r="53" spans="1:11" x14ac:dyDescent="0.3">
      <c r="A53" s="22">
        <v>10</v>
      </c>
      <c r="D53" s="21" t="s">
        <v>46</v>
      </c>
      <c r="E53" s="22">
        <f>A52*A53/11</f>
        <v>818181.81818181823</v>
      </c>
      <c r="I53" s="41" t="s">
        <v>59</v>
      </c>
    </row>
    <row r="54" spans="1:11" x14ac:dyDescent="0.3">
      <c r="C54" s="26">
        <f>SUM(C50:C53)</f>
        <v>90600000</v>
      </c>
      <c r="E54" s="26">
        <f>SUM(E50:E53)</f>
        <v>90599999.999999985</v>
      </c>
      <c r="G54" s="42"/>
      <c r="H54" s="42"/>
      <c r="I54" s="42"/>
      <c r="J54" s="43"/>
      <c r="K54" s="43"/>
    </row>
    <row r="55" spans="1:11" x14ac:dyDescent="0.3">
      <c r="G55" s="21">
        <v>8</v>
      </c>
      <c r="H55" s="40">
        <v>45418</v>
      </c>
      <c r="I55" s="71" t="str">
        <f>B50</f>
        <v>BANCO GNB CTA CTE</v>
      </c>
      <c r="J55" s="22">
        <f>C50</f>
        <v>36240000</v>
      </c>
    </row>
    <row r="56" spans="1:11" ht="15" thickBot="1" x14ac:dyDescent="0.35">
      <c r="I56" s="21" t="str">
        <f>B51</f>
        <v>DOCUMENTOS A COBRAR</v>
      </c>
      <c r="J56" s="22">
        <f>C51</f>
        <v>54360000</v>
      </c>
    </row>
    <row r="57" spans="1:11" ht="15" thickBot="1" x14ac:dyDescent="0.35">
      <c r="A57" s="22" t="s">
        <v>47</v>
      </c>
      <c r="B57" s="54"/>
      <c r="C57" s="55"/>
      <c r="D57" s="56"/>
      <c r="E57" s="55"/>
      <c r="I57" s="21" t="str">
        <f>D50</f>
        <v>VENTA DE MERCADERIAS</v>
      </c>
      <c r="K57" s="22">
        <f>E50</f>
        <v>74181818.181818172</v>
      </c>
    </row>
    <row r="58" spans="1:11" x14ac:dyDescent="0.3">
      <c r="A58" s="22">
        <f>A43/1.1</f>
        <v>5363636.3636363633</v>
      </c>
      <c r="B58" s="21" t="s">
        <v>48</v>
      </c>
      <c r="C58" s="22">
        <f>A51*A43/1.1</f>
        <v>64363636.36363636</v>
      </c>
      <c r="D58" s="25" t="s">
        <v>42</v>
      </c>
      <c r="E58" s="22">
        <f>C58</f>
        <v>64363636.36363636</v>
      </c>
      <c r="I58" s="21" t="str">
        <f>D51</f>
        <v>IVA DF 10%</v>
      </c>
      <c r="K58" s="22">
        <f>E51</f>
        <v>7418181.8181818184</v>
      </c>
    </row>
    <row r="59" spans="1:11" x14ac:dyDescent="0.3">
      <c r="A59" s="22">
        <f>A45/1.1</f>
        <v>545454.54545454541</v>
      </c>
      <c r="B59" s="21" t="str">
        <f>B58</f>
        <v>COSTO DE VENTA</v>
      </c>
      <c r="C59" s="22">
        <f>A53*A59</f>
        <v>5454545.4545454541</v>
      </c>
      <c r="D59" s="25" t="str">
        <f>D58</f>
        <v>MERCADERIAS</v>
      </c>
      <c r="E59" s="22">
        <f>C59</f>
        <v>5454545.4545454541</v>
      </c>
      <c r="I59" s="21" t="str">
        <f>D52</f>
        <v>VENTA DE MERCADERIAS</v>
      </c>
      <c r="K59" s="22">
        <f>E52</f>
        <v>8181818.1818181807</v>
      </c>
    </row>
    <row r="60" spans="1:11" x14ac:dyDescent="0.3">
      <c r="C60" s="26">
        <f>SUM(C58:C59)</f>
        <v>69818181.818181813</v>
      </c>
      <c r="D60" s="25"/>
      <c r="E60" s="26">
        <f>SUM(E58:E59)</f>
        <v>69818181.818181813</v>
      </c>
      <c r="I60" s="21" t="str">
        <f>D53</f>
        <v>IVA DF 10%</v>
      </c>
      <c r="K60" s="22">
        <f>E53</f>
        <v>818181.81818181823</v>
      </c>
    </row>
    <row r="61" spans="1:11" x14ac:dyDescent="0.3">
      <c r="I61" s="41" t="s">
        <v>45</v>
      </c>
    </row>
    <row r="62" spans="1:11" ht="15" thickBot="1" x14ac:dyDescent="0.35">
      <c r="G62" s="42"/>
      <c r="H62" s="42"/>
      <c r="I62" s="42"/>
      <c r="J62" s="43"/>
      <c r="K62" s="43"/>
    </row>
    <row r="63" spans="1:11" ht="15" thickBot="1" x14ac:dyDescent="0.35">
      <c r="B63" s="54"/>
      <c r="C63" s="55"/>
      <c r="D63" s="56"/>
      <c r="E63" s="55"/>
      <c r="G63" s="21">
        <v>9</v>
      </c>
      <c r="H63" s="40">
        <v>45418</v>
      </c>
      <c r="I63" s="21" t="str">
        <f>B58</f>
        <v>COSTO DE VENTA</v>
      </c>
      <c r="J63" s="22">
        <f>C58</f>
        <v>64363636.36363636</v>
      </c>
    </row>
    <row r="64" spans="1:11" x14ac:dyDescent="0.3">
      <c r="B64" s="21" t="s">
        <v>49</v>
      </c>
      <c r="C64" s="22">
        <v>500000</v>
      </c>
      <c r="D64" s="25" t="s">
        <v>29</v>
      </c>
      <c r="E64" s="22">
        <f>C64</f>
        <v>500000</v>
      </c>
      <c r="I64" s="21" t="str">
        <f>B59</f>
        <v>COSTO DE VENTA</v>
      </c>
      <c r="J64" s="22">
        <f>C59</f>
        <v>5454545.4545454541</v>
      </c>
    </row>
    <row r="65" spans="1:11" x14ac:dyDescent="0.3">
      <c r="D65" s="25"/>
      <c r="I65" s="21" t="str">
        <f>D58</f>
        <v>MERCADERIAS</v>
      </c>
      <c r="K65" s="22">
        <f>E58</f>
        <v>64363636.36363636</v>
      </c>
    </row>
    <row r="66" spans="1:11" x14ac:dyDescent="0.3">
      <c r="C66" s="26"/>
      <c r="D66" s="25"/>
      <c r="E66" s="26"/>
      <c r="I66" s="21" t="str">
        <f>I65</f>
        <v>MERCADERIAS</v>
      </c>
      <c r="K66" s="22">
        <f>E59</f>
        <v>5454545.4545454541</v>
      </c>
    </row>
    <row r="67" spans="1:11" x14ac:dyDescent="0.3">
      <c r="I67" s="41" t="s">
        <v>58</v>
      </c>
    </row>
    <row r="68" spans="1:11" ht="15" thickBot="1" x14ac:dyDescent="0.35">
      <c r="G68" s="42"/>
      <c r="H68" s="42"/>
      <c r="I68" s="42"/>
      <c r="J68" s="43"/>
      <c r="K68" s="43"/>
    </row>
    <row r="69" spans="1:11" ht="15" thickBot="1" x14ac:dyDescent="0.35">
      <c r="B69" s="54"/>
      <c r="C69" s="55"/>
      <c r="D69" s="56"/>
      <c r="E69" s="55"/>
      <c r="G69" s="21">
        <v>10</v>
      </c>
      <c r="H69" s="40">
        <v>45421</v>
      </c>
      <c r="I69" s="21" t="str">
        <f>B64</f>
        <v>IMPUESTOS, TASAS Y PATENTES</v>
      </c>
      <c r="J69" s="22">
        <f>C64</f>
        <v>500000</v>
      </c>
    </row>
    <row r="70" spans="1:11" x14ac:dyDescent="0.3">
      <c r="A70" s="22">
        <v>1320000</v>
      </c>
      <c r="B70" s="21" t="s">
        <v>37</v>
      </c>
      <c r="C70" s="22">
        <f>A70/1.1</f>
        <v>1200000</v>
      </c>
      <c r="D70" s="25" t="s">
        <v>29</v>
      </c>
      <c r="E70" s="22">
        <f>A70</f>
        <v>1320000</v>
      </c>
      <c r="I70" s="71" t="str">
        <f>D64</f>
        <v>BANCO GNB CTA CTE</v>
      </c>
      <c r="K70" s="22">
        <f>J69</f>
        <v>500000</v>
      </c>
    </row>
    <row r="71" spans="1:11" x14ac:dyDescent="0.3">
      <c r="B71" s="21" t="s">
        <v>38</v>
      </c>
      <c r="C71" s="22">
        <f>A70/11</f>
        <v>120000</v>
      </c>
      <c r="D71" s="25"/>
      <c r="I71" s="41" t="s">
        <v>60</v>
      </c>
    </row>
    <row r="72" spans="1:11" x14ac:dyDescent="0.3">
      <c r="C72" s="26"/>
      <c r="D72" s="25"/>
      <c r="E72" s="26"/>
      <c r="G72" s="42"/>
      <c r="H72" s="42"/>
      <c r="I72" s="42"/>
      <c r="J72" s="43"/>
      <c r="K72" s="43"/>
    </row>
    <row r="73" spans="1:11" x14ac:dyDescent="0.3">
      <c r="G73" s="21">
        <v>11</v>
      </c>
      <c r="H73" s="40">
        <v>45424</v>
      </c>
      <c r="I73" s="21" t="str">
        <f>B70</f>
        <v>MUEBLES Y UTILES</v>
      </c>
      <c r="J73" s="22">
        <f>C70</f>
        <v>1200000</v>
      </c>
    </row>
    <row r="74" spans="1:11" ht="15" thickBot="1" x14ac:dyDescent="0.35">
      <c r="I74" s="21" t="str">
        <f>B71</f>
        <v>IVA CF 10%</v>
      </c>
      <c r="J74" s="22">
        <f>C71</f>
        <v>120000</v>
      </c>
    </row>
    <row r="75" spans="1:11" ht="15" thickBot="1" x14ac:dyDescent="0.35">
      <c r="B75" s="54"/>
      <c r="C75" s="55"/>
      <c r="D75" s="56"/>
      <c r="E75" s="55"/>
      <c r="I75" s="71" t="str">
        <f>D70</f>
        <v>BANCO GNB CTA CTE</v>
      </c>
      <c r="K75" s="22">
        <f>E70</f>
        <v>1320000</v>
      </c>
    </row>
    <row r="76" spans="1:11" x14ac:dyDescent="0.3">
      <c r="A76" s="22">
        <v>980000</v>
      </c>
      <c r="B76" s="21" t="s">
        <v>51</v>
      </c>
      <c r="C76" s="22">
        <f>A76/1.1</f>
        <v>890909.09090909082</v>
      </c>
      <c r="D76" s="25" t="s">
        <v>29</v>
      </c>
      <c r="E76" s="22">
        <f>A76</f>
        <v>980000</v>
      </c>
      <c r="I76" s="41" t="s">
        <v>61</v>
      </c>
    </row>
    <row r="77" spans="1:11" x14ac:dyDescent="0.3">
      <c r="B77" s="21" t="s">
        <v>38</v>
      </c>
      <c r="C77" s="22">
        <f>A76/11</f>
        <v>89090.909090909088</v>
      </c>
      <c r="D77" s="25"/>
      <c r="G77" s="42"/>
      <c r="H77" s="42"/>
      <c r="I77" s="42"/>
      <c r="J77" s="43"/>
      <c r="K77" s="43"/>
    </row>
    <row r="78" spans="1:11" x14ac:dyDescent="0.3">
      <c r="C78" s="26"/>
      <c r="D78" s="25"/>
      <c r="E78" s="26"/>
      <c r="G78" s="21">
        <v>12</v>
      </c>
      <c r="H78" s="40">
        <v>45427</v>
      </c>
      <c r="I78" s="21" t="str">
        <f>B76</f>
        <v>LUZ, AGUA, TELEFONO A PAGAR</v>
      </c>
      <c r="J78" s="22">
        <f>C76</f>
        <v>890909.09090909082</v>
      </c>
    </row>
    <row r="79" spans="1:11" x14ac:dyDescent="0.3">
      <c r="I79" s="21" t="str">
        <f>B77</f>
        <v>IVA CF 10%</v>
      </c>
      <c r="J79" s="22">
        <f>C77</f>
        <v>89090.909090909088</v>
      </c>
    </row>
    <row r="80" spans="1:11" ht="15" thickBot="1" x14ac:dyDescent="0.35">
      <c r="I80" s="71" t="str">
        <f>D76</f>
        <v>BANCO GNB CTA CTE</v>
      </c>
      <c r="K80" s="22">
        <f>E76</f>
        <v>980000</v>
      </c>
    </row>
    <row r="81" spans="1:11" ht="15" thickBot="1" x14ac:dyDescent="0.35">
      <c r="B81" s="54"/>
      <c r="C81" s="55"/>
      <c r="D81" s="56"/>
      <c r="E81" s="55"/>
      <c r="I81" s="41" t="s">
        <v>62</v>
      </c>
    </row>
    <row r="82" spans="1:11" x14ac:dyDescent="0.3">
      <c r="A82" s="22">
        <v>5080000</v>
      </c>
      <c r="B82" s="21" t="s">
        <v>52</v>
      </c>
      <c r="C82" s="22">
        <f>A82/1.1</f>
        <v>4618181.8181818174</v>
      </c>
      <c r="D82" s="25" t="s">
        <v>29</v>
      </c>
      <c r="E82" s="22">
        <f>A82</f>
        <v>5080000</v>
      </c>
      <c r="G82" s="42"/>
      <c r="H82" s="42"/>
      <c r="I82" s="42"/>
      <c r="J82" s="43"/>
      <c r="K82" s="43"/>
    </row>
    <row r="83" spans="1:11" x14ac:dyDescent="0.3">
      <c r="B83" s="21" t="s">
        <v>38</v>
      </c>
      <c r="C83" s="22">
        <f>A82/11</f>
        <v>461818.18181818182</v>
      </c>
      <c r="D83" s="25"/>
      <c r="G83" s="21">
        <v>13</v>
      </c>
      <c r="H83" s="40">
        <v>45432</v>
      </c>
      <c r="I83" s="21" t="str">
        <f>B82</f>
        <v>HONORARIOS PROFESIONALES</v>
      </c>
      <c r="J83" s="22">
        <f>C82</f>
        <v>4618181.8181818174</v>
      </c>
    </row>
    <row r="84" spans="1:11" x14ac:dyDescent="0.3">
      <c r="C84" s="26">
        <f>SUM(C82:C83)</f>
        <v>5079999.9999999991</v>
      </c>
      <c r="D84" s="25"/>
      <c r="E84" s="26">
        <f>SUM(E82:E83)</f>
        <v>5080000</v>
      </c>
      <c r="I84" s="21" t="str">
        <f>B83</f>
        <v>IVA CF 10%</v>
      </c>
      <c r="J84" s="22">
        <f>C83</f>
        <v>461818.18181818182</v>
      </c>
    </row>
    <row r="85" spans="1:11" x14ac:dyDescent="0.3">
      <c r="I85" s="71" t="str">
        <f>D82</f>
        <v>BANCO GNB CTA CTE</v>
      </c>
      <c r="K85" s="22">
        <f>E82</f>
        <v>5080000</v>
      </c>
    </row>
    <row r="86" spans="1:11" ht="15" thickBot="1" x14ac:dyDescent="0.35">
      <c r="I86" s="41" t="s">
        <v>63</v>
      </c>
    </row>
    <row r="87" spans="1:11" ht="16.2" thickBot="1" x14ac:dyDescent="0.35">
      <c r="B87" s="50" t="s">
        <v>4</v>
      </c>
      <c r="C87" s="51"/>
      <c r="D87" s="52" t="s">
        <v>5</v>
      </c>
      <c r="E87" s="53"/>
      <c r="G87" s="42"/>
      <c r="H87" s="42"/>
      <c r="I87" s="42"/>
      <c r="J87" s="43"/>
      <c r="K87" s="43"/>
    </row>
    <row r="88" spans="1:11" ht="15.6" x14ac:dyDescent="0.3">
      <c r="B88" s="44" t="s">
        <v>53</v>
      </c>
      <c r="C88" s="45">
        <v>3000000</v>
      </c>
      <c r="D88" s="46" t="s">
        <v>54</v>
      </c>
      <c r="E88" s="45">
        <f>C88*91%</f>
        <v>2730000</v>
      </c>
      <c r="G88" s="21">
        <v>14</v>
      </c>
      <c r="H88" s="40">
        <v>45443</v>
      </c>
      <c r="I88" s="21" t="str">
        <f>B88</f>
        <v>SUELDOS Y JORNALES</v>
      </c>
      <c r="J88" s="22">
        <f>C88</f>
        <v>3000000</v>
      </c>
    </row>
    <row r="89" spans="1:11" ht="15.6" x14ac:dyDescent="0.3">
      <c r="B89" s="47" t="s">
        <v>55</v>
      </c>
      <c r="C89" s="45">
        <f>C88*16.5%</f>
        <v>495000</v>
      </c>
      <c r="D89" s="47" t="s">
        <v>56</v>
      </c>
      <c r="E89" s="45">
        <f>C89+C88*9%</f>
        <v>765000</v>
      </c>
      <c r="I89" s="21" t="str">
        <f>B89</f>
        <v>APORTE PATRONAL</v>
      </c>
      <c r="J89" s="22">
        <f>C89</f>
        <v>495000</v>
      </c>
    </row>
    <row r="90" spans="1:11" ht="15.6" x14ac:dyDescent="0.3">
      <c r="B90" s="47"/>
      <c r="C90" s="48">
        <f>SUM(C88:C89)</f>
        <v>3495000</v>
      </c>
      <c r="D90" s="47"/>
      <c r="E90" s="48">
        <f>SUM(E88:E89)</f>
        <v>3495000</v>
      </c>
      <c r="I90" s="71" t="s">
        <v>29</v>
      </c>
      <c r="K90" s="22">
        <f>E88</f>
        <v>2730000</v>
      </c>
    </row>
    <row r="91" spans="1:11" x14ac:dyDescent="0.3">
      <c r="I91" s="21" t="str">
        <f>D89</f>
        <v>IPS A PAGAR</v>
      </c>
      <c r="K91" s="22">
        <f>E89</f>
        <v>765000</v>
      </c>
    </row>
    <row r="92" spans="1:11" ht="15" thickBot="1" x14ac:dyDescent="0.35">
      <c r="I92" s="41" t="s">
        <v>64</v>
      </c>
    </row>
    <row r="93" spans="1:11" ht="16.2" thickBot="1" x14ac:dyDescent="0.35">
      <c r="B93" s="50" t="s">
        <v>4</v>
      </c>
      <c r="C93" s="51"/>
      <c r="D93" s="52" t="s">
        <v>5</v>
      </c>
      <c r="E93" s="53"/>
      <c r="G93" s="42"/>
      <c r="H93" s="42"/>
      <c r="I93" s="42"/>
      <c r="J93" s="43"/>
      <c r="K93" s="43"/>
    </row>
    <row r="94" spans="1:11" ht="15.6" x14ac:dyDescent="0.3">
      <c r="B94" s="44" t="s">
        <v>53</v>
      </c>
      <c r="C94" s="45">
        <v>3500000</v>
      </c>
      <c r="D94" s="46" t="s">
        <v>54</v>
      </c>
      <c r="E94" s="45">
        <f>C94*91%</f>
        <v>3185000</v>
      </c>
      <c r="G94" s="21">
        <v>15</v>
      </c>
      <c r="H94" s="40">
        <f>H88</f>
        <v>45443</v>
      </c>
      <c r="I94" s="21" t="str">
        <f>B94</f>
        <v>SUELDOS Y JORNALES</v>
      </c>
      <c r="J94" s="22">
        <f>C94</f>
        <v>3500000</v>
      </c>
    </row>
    <row r="95" spans="1:11" ht="15.6" x14ac:dyDescent="0.3">
      <c r="B95" s="47" t="s">
        <v>55</v>
      </c>
      <c r="C95" s="45">
        <f>C94*16.5%</f>
        <v>577500</v>
      </c>
      <c r="D95" s="47" t="s">
        <v>56</v>
      </c>
      <c r="E95" s="45">
        <f>C95+C94*9%</f>
        <v>892500</v>
      </c>
      <c r="I95" s="21" t="str">
        <f>B95</f>
        <v>APORTE PATRONAL</v>
      </c>
      <c r="J95" s="22">
        <f>C95</f>
        <v>577500</v>
      </c>
    </row>
    <row r="96" spans="1:11" ht="15.6" x14ac:dyDescent="0.3">
      <c r="B96" s="47"/>
      <c r="C96" s="48">
        <f>SUM(C94:C95)</f>
        <v>4077500</v>
      </c>
      <c r="D96" s="47"/>
      <c r="E96" s="48">
        <f>SUM(E94:E95)</f>
        <v>4077500</v>
      </c>
      <c r="I96" s="71" t="s">
        <v>29</v>
      </c>
      <c r="K96" s="22">
        <f>E94</f>
        <v>3185000</v>
      </c>
    </row>
    <row r="97" spans="2:11" x14ac:dyDescent="0.3">
      <c r="I97" s="21" t="str">
        <f>D95</f>
        <v>IPS A PAGAR</v>
      </c>
      <c r="K97" s="22">
        <f>E95</f>
        <v>892500</v>
      </c>
    </row>
    <row r="98" spans="2:11" ht="15" thickBot="1" x14ac:dyDescent="0.35">
      <c r="I98" s="41" t="s">
        <v>66</v>
      </c>
    </row>
    <row r="99" spans="2:11" ht="16.2" thickBot="1" x14ac:dyDescent="0.35">
      <c r="B99" s="50" t="s">
        <v>4</v>
      </c>
      <c r="C99" s="51"/>
      <c r="D99" s="52" t="s">
        <v>5</v>
      </c>
      <c r="E99" s="53"/>
      <c r="G99" s="42"/>
      <c r="H99" s="42"/>
      <c r="I99" s="42"/>
      <c r="J99" s="43"/>
      <c r="K99" s="43"/>
    </row>
    <row r="100" spans="2:11" ht="15.6" x14ac:dyDescent="0.3">
      <c r="B100" s="44" t="s">
        <v>53</v>
      </c>
      <c r="C100" s="45">
        <v>2680373</v>
      </c>
      <c r="D100" s="46" t="s">
        <v>54</v>
      </c>
      <c r="E100" s="45">
        <f>C100*91%</f>
        <v>2439139.4300000002</v>
      </c>
      <c r="G100" s="21">
        <v>16</v>
      </c>
      <c r="H100" s="40">
        <f>H94</f>
        <v>45443</v>
      </c>
      <c r="I100" s="21" t="str">
        <f>B100</f>
        <v>SUELDOS Y JORNALES</v>
      </c>
      <c r="J100" s="22">
        <f>C100</f>
        <v>2680373</v>
      </c>
    </row>
    <row r="101" spans="2:11" ht="15.6" x14ac:dyDescent="0.3">
      <c r="B101" s="47" t="s">
        <v>55</v>
      </c>
      <c r="C101" s="45">
        <f>C100*16.5%</f>
        <v>442261.54500000004</v>
      </c>
      <c r="D101" s="47" t="s">
        <v>56</v>
      </c>
      <c r="E101" s="45">
        <f>C101+C100*9%</f>
        <v>683495.11499999999</v>
      </c>
      <c r="I101" s="21" t="str">
        <f>B101</f>
        <v>APORTE PATRONAL</v>
      </c>
      <c r="J101" s="22">
        <f>C101</f>
        <v>442261.54500000004</v>
      </c>
    </row>
    <row r="102" spans="2:11" ht="15.6" x14ac:dyDescent="0.3">
      <c r="B102" s="47"/>
      <c r="C102" s="48">
        <f>SUM(C100:C101)</f>
        <v>3122634.5449999999</v>
      </c>
      <c r="D102" s="47"/>
      <c r="E102" s="48">
        <f>SUM(E100:E101)</f>
        <v>3122634.5449999999</v>
      </c>
      <c r="I102" s="71" t="s">
        <v>29</v>
      </c>
      <c r="K102" s="22">
        <f>E100</f>
        <v>2439139.4300000002</v>
      </c>
    </row>
    <row r="103" spans="2:11" x14ac:dyDescent="0.3">
      <c r="I103" s="21" t="str">
        <f>D101</f>
        <v>IPS A PAGAR</v>
      </c>
      <c r="K103" s="22">
        <f>E101</f>
        <v>683495.11499999999</v>
      </c>
    </row>
    <row r="104" spans="2:11" x14ac:dyDescent="0.3">
      <c r="I104" s="41" t="s">
        <v>67</v>
      </c>
    </row>
    <row r="105" spans="2:11" x14ac:dyDescent="0.3">
      <c r="G105" s="42"/>
      <c r="H105" s="42"/>
      <c r="I105" s="42"/>
      <c r="J105" s="43"/>
      <c r="K105" s="43"/>
    </row>
    <row r="107" spans="2:11" x14ac:dyDescent="0.3">
      <c r="J107" s="22">
        <f>SUM(J5:J106)</f>
        <v>1526470589.0904546</v>
      </c>
      <c r="K107" s="22">
        <f>SUM(K5:K106)</f>
        <v>1782470589.0904546</v>
      </c>
    </row>
  </sheetData>
  <mergeCells count="34">
    <mergeCell ref="B3:F3"/>
    <mergeCell ref="G3:K3"/>
    <mergeCell ref="D11:E11"/>
    <mergeCell ref="B11:C11"/>
    <mergeCell ref="B16:C16"/>
    <mergeCell ref="D16:E16"/>
    <mergeCell ref="B36:C36"/>
    <mergeCell ref="D36:E36"/>
    <mergeCell ref="B42:C42"/>
    <mergeCell ref="D42:E42"/>
    <mergeCell ref="B4:C4"/>
    <mergeCell ref="D4:E4"/>
    <mergeCell ref="B21:C21"/>
    <mergeCell ref="D21:E21"/>
    <mergeCell ref="B28:C28"/>
    <mergeCell ref="D28:E28"/>
    <mergeCell ref="B69:C69"/>
    <mergeCell ref="D69:E69"/>
    <mergeCell ref="B75:C75"/>
    <mergeCell ref="D75:E75"/>
    <mergeCell ref="B81:C81"/>
    <mergeCell ref="D81:E81"/>
    <mergeCell ref="B49:C49"/>
    <mergeCell ref="D49:E49"/>
    <mergeCell ref="B57:C57"/>
    <mergeCell ref="D57:E57"/>
    <mergeCell ref="B63:C63"/>
    <mergeCell ref="D63:E63"/>
    <mergeCell ref="B87:C87"/>
    <mergeCell ref="D87:E87"/>
    <mergeCell ref="B93:C93"/>
    <mergeCell ref="D93:E93"/>
    <mergeCell ref="B99:C99"/>
    <mergeCell ref="D99:E9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8"/>
  <sheetViews>
    <sheetView topLeftCell="A10" workbookViewId="0">
      <selection activeCell="A23" sqref="A23"/>
    </sheetView>
  </sheetViews>
  <sheetFormatPr defaultColWidth="10.90625" defaultRowHeight="15.6" x14ac:dyDescent="0.3"/>
  <cols>
    <col min="3" max="3" width="23" style="83" customWidth="1"/>
    <col min="4" max="4" width="13.81640625" customWidth="1"/>
    <col min="5" max="5" width="14.81640625" customWidth="1"/>
    <col min="6" max="6" width="12.453125" bestFit="1" customWidth="1"/>
  </cols>
  <sheetData>
    <row r="1" spans="1:8" ht="21" x14ac:dyDescent="0.4">
      <c r="A1" s="61" t="s">
        <v>8</v>
      </c>
      <c r="B1" s="61"/>
      <c r="C1" s="61"/>
      <c r="D1" s="61"/>
      <c r="E1" s="61"/>
    </row>
    <row r="2" spans="1:8" ht="21" x14ac:dyDescent="0.4">
      <c r="A2" s="2"/>
      <c r="B2" s="2"/>
      <c r="C2" s="79"/>
      <c r="D2" s="2"/>
      <c r="E2" s="2"/>
    </row>
    <row r="3" spans="1:8" ht="21.6" thickBot="1" x14ac:dyDescent="0.45">
      <c r="A3" s="7" t="s">
        <v>11</v>
      </c>
      <c r="B3" s="8">
        <v>1</v>
      </c>
      <c r="C3" s="80" t="s">
        <v>12</v>
      </c>
      <c r="D3" s="8" t="str">
        <f>'LIBRO DIARIO'!I5</f>
        <v>FONDO FIJO</v>
      </c>
      <c r="E3" s="9"/>
      <c r="F3" s="10"/>
    </row>
    <row r="4" spans="1:8" ht="16.2" thickBot="1" x14ac:dyDescent="0.35">
      <c r="A4" s="4" t="s">
        <v>1</v>
      </c>
      <c r="B4" s="5" t="s">
        <v>2</v>
      </c>
      <c r="C4" s="81" t="s">
        <v>10</v>
      </c>
      <c r="D4" s="5" t="s">
        <v>4</v>
      </c>
      <c r="E4" s="5" t="s">
        <v>5</v>
      </c>
      <c r="F4" s="6" t="s">
        <v>9</v>
      </c>
      <c r="H4" s="27"/>
    </row>
    <row r="5" spans="1:8" ht="31.2" x14ac:dyDescent="0.3">
      <c r="A5" s="3">
        <f>'LIBRO DIARIO'!G5</f>
        <v>1</v>
      </c>
      <c r="B5" s="28">
        <f>'LIBRO DIARIO'!H5</f>
        <v>45413</v>
      </c>
      <c r="C5" s="70" t="str">
        <f>'LIBRO DIARIO'!I12</f>
        <v>ASIENTO DE APERTURA DE EMPRESA POLITEC</v>
      </c>
      <c r="D5" s="30">
        <f>'LIBRO DIARIO'!J5</f>
        <v>2500000</v>
      </c>
      <c r="E5" s="3"/>
      <c r="F5" s="30">
        <f>D5</f>
        <v>2500000</v>
      </c>
    </row>
    <row r="6" spans="1:8" x14ac:dyDescent="0.3">
      <c r="A6" s="1"/>
      <c r="B6" s="1"/>
      <c r="C6" s="73"/>
      <c r="D6" s="1"/>
      <c r="E6" s="1"/>
      <c r="F6" s="1"/>
    </row>
    <row r="7" spans="1:8" x14ac:dyDescent="0.3">
      <c r="A7" s="1"/>
      <c r="B7" s="1"/>
      <c r="C7" s="73"/>
      <c r="D7" s="1"/>
      <c r="E7" s="1"/>
      <c r="F7" s="1"/>
    </row>
    <row r="8" spans="1:8" x14ac:dyDescent="0.3">
      <c r="A8" s="1"/>
      <c r="B8" s="1"/>
      <c r="C8" s="73"/>
      <c r="D8" s="1"/>
      <c r="E8" s="1"/>
      <c r="F8" s="1"/>
    </row>
    <row r="11" spans="1:8" ht="21.6" thickBot="1" x14ac:dyDescent="0.45">
      <c r="A11" s="7" t="s">
        <v>11</v>
      </c>
      <c r="B11" s="8">
        <v>2</v>
      </c>
      <c r="C11" s="80" t="s">
        <v>12</v>
      </c>
      <c r="D11" s="8" t="str">
        <f>'LIBRO DIARIO'!I6</f>
        <v>BANCO GNB CTA CTE</v>
      </c>
      <c r="E11" s="9"/>
      <c r="F11" s="10"/>
    </row>
    <row r="12" spans="1:8" ht="16.2" thickBot="1" x14ac:dyDescent="0.35">
      <c r="A12" s="4" t="s">
        <v>1</v>
      </c>
      <c r="B12" s="5" t="s">
        <v>2</v>
      </c>
      <c r="C12" s="81" t="s">
        <v>10</v>
      </c>
      <c r="D12" s="5" t="s">
        <v>4</v>
      </c>
      <c r="E12" s="5" t="s">
        <v>5</v>
      </c>
      <c r="F12" s="6" t="s">
        <v>9</v>
      </c>
    </row>
    <row r="13" spans="1:8" ht="31.2" x14ac:dyDescent="0.3">
      <c r="A13" s="3">
        <f>'LIBRO DIARIO'!G5</f>
        <v>1</v>
      </c>
      <c r="B13" s="28">
        <f>B5</f>
        <v>45413</v>
      </c>
      <c r="C13" s="70" t="str">
        <f>C5</f>
        <v>ASIENTO DE APERTURA DE EMPRESA POLITEC</v>
      </c>
      <c r="D13" s="30">
        <f>'LIBRO DIARIO'!J6</f>
        <v>450000000</v>
      </c>
      <c r="E13" s="3"/>
      <c r="F13" s="3"/>
    </row>
    <row r="14" spans="1:8" ht="31.2" x14ac:dyDescent="0.3">
      <c r="A14" s="1">
        <f>'LIBRO DIARIO'!G14</f>
        <v>2</v>
      </c>
      <c r="B14" s="29">
        <f>'LIBRO DIARIO'!H14</f>
        <v>45414</v>
      </c>
      <c r="C14" s="73" t="str">
        <f>'LIBRO DIARIO'!I17</f>
        <v>COMPRA DE MOBILIARIOS PARA USO DE LA EMPRESA</v>
      </c>
      <c r="D14" s="1"/>
      <c r="E14" s="72">
        <f>'LIBRO DIARIO'!K16</f>
        <v>2650000</v>
      </c>
      <c r="F14" s="1"/>
    </row>
    <row r="15" spans="1:8" ht="46.8" x14ac:dyDescent="0.3">
      <c r="A15" s="1">
        <v>3</v>
      </c>
      <c r="B15" s="29">
        <f>'LIBRO DIARIO'!H19</f>
        <v>45415</v>
      </c>
      <c r="C15" s="73" t="str">
        <f>'LIBRO DIARIO'!I23</f>
        <v>COMPRA DE CAMIONETA NISSAN SEGÚN FACTURA NRO.003-002-0016559</v>
      </c>
      <c r="D15" s="1"/>
      <c r="E15" s="72">
        <f>'LIBRO DIARIO'!K21</f>
        <v>23500000</v>
      </c>
      <c r="F15" s="1"/>
    </row>
    <row r="16" spans="1:8" ht="31.2" x14ac:dyDescent="0.3">
      <c r="A16" s="1">
        <v>4</v>
      </c>
      <c r="B16" s="29">
        <f>'LIBRO DIARIO'!H25</f>
        <v>45416</v>
      </c>
      <c r="C16" s="73" t="str">
        <f>'LIBRO DIARIO'!I31</f>
        <v>COMPRA DE MERCADERIAS</v>
      </c>
      <c r="D16" s="1"/>
      <c r="E16" s="72">
        <f>'LIBRO DIARIO'!K29</f>
        <v>206500000</v>
      </c>
      <c r="F16" s="1"/>
    </row>
    <row r="17" spans="1:6" ht="31.2" x14ac:dyDescent="0.3">
      <c r="A17" s="74">
        <v>4</v>
      </c>
      <c r="B17" s="76">
        <f>B16</f>
        <v>45416</v>
      </c>
      <c r="C17" s="82" t="str">
        <f>C16</f>
        <v>COMPRA DE MERCADERIAS</v>
      </c>
      <c r="D17" s="74"/>
      <c r="E17" s="75">
        <f>'LIBRO DIARIO'!K30</f>
        <v>18000000</v>
      </c>
      <c r="F17" s="74"/>
    </row>
    <row r="18" spans="1:6" x14ac:dyDescent="0.3">
      <c r="A18" s="74">
        <f>'LIBRO DIARIO'!G33</f>
        <v>5</v>
      </c>
      <c r="B18" s="76">
        <f>'LIBRO DIARIO'!H33</f>
        <v>45418</v>
      </c>
      <c r="C18" s="82" t="str">
        <f>'LIBRO DIARIO'!I39</f>
        <v>VENTA DE MERCADERIAS</v>
      </c>
      <c r="D18" s="75">
        <f>'LIBRO DIARIO'!J33</f>
        <v>103120000</v>
      </c>
      <c r="E18" s="75"/>
      <c r="F18" s="74"/>
    </row>
    <row r="19" spans="1:6" ht="46.8" x14ac:dyDescent="0.3">
      <c r="A19" s="78">
        <v>7</v>
      </c>
      <c r="B19" s="76">
        <f>'LIBRO DIARIO'!H47</f>
        <v>45420</v>
      </c>
      <c r="C19" s="82" t="str">
        <f>'LIBRO DIARIO'!I53</f>
        <v>COMPRA DE MERCADERIAS A CONTADO</v>
      </c>
      <c r="D19" s="74"/>
      <c r="E19" s="75">
        <f>'LIBRO DIARIO'!K51</f>
        <v>59000000</v>
      </c>
      <c r="F19" s="74"/>
    </row>
    <row r="20" spans="1:6" ht="46.8" x14ac:dyDescent="0.3">
      <c r="A20" s="74">
        <f>A19</f>
        <v>7</v>
      </c>
      <c r="B20" s="76">
        <f>B19</f>
        <v>45420</v>
      </c>
      <c r="C20" s="82" t="str">
        <f>C19</f>
        <v>COMPRA DE MERCADERIAS A CONTADO</v>
      </c>
      <c r="D20" s="74"/>
      <c r="E20" s="75">
        <f>'LIBRO DIARIO'!K52</f>
        <v>3000000</v>
      </c>
      <c r="F20" s="74"/>
    </row>
    <row r="21" spans="1:6" x14ac:dyDescent="0.3">
      <c r="A21" s="78">
        <v>8</v>
      </c>
      <c r="B21" s="76">
        <f>'LIBRO DIARIO'!H55</f>
        <v>45418</v>
      </c>
      <c r="C21" s="82" t="str">
        <f>'LIBRO DIARIO'!I61</f>
        <v>VENTA DE MERCADERIAS</v>
      </c>
      <c r="D21" s="74"/>
      <c r="E21" s="75">
        <f>'LIBRO DIARIO'!J55</f>
        <v>36240000</v>
      </c>
      <c r="F21" s="74"/>
    </row>
    <row r="22" spans="1:6" ht="31.2" x14ac:dyDescent="0.3">
      <c r="A22" s="78">
        <v>10</v>
      </c>
      <c r="B22" s="76">
        <f>'LIBRO DIARIO'!H69</f>
        <v>45421</v>
      </c>
      <c r="C22" s="82" t="str">
        <f>'LIBRO DIARIO'!I71</f>
        <v>PAGO DE PATENTE COMERCIAL</v>
      </c>
      <c r="D22" s="74"/>
      <c r="E22" s="75">
        <f>'LIBRO DIARIO'!K70</f>
        <v>500000</v>
      </c>
      <c r="F22" s="74"/>
    </row>
    <row r="23" spans="1:6" ht="31.2" x14ac:dyDescent="0.3">
      <c r="A23" s="78">
        <v>11</v>
      </c>
      <c r="B23" s="76">
        <v>45424</v>
      </c>
      <c r="C23" s="82" t="str">
        <f>'LIBRO DIARIO'!I76</f>
        <v>COMPRA DE PRODUCTOS DE LIMPIEZA</v>
      </c>
      <c r="D23" s="74"/>
      <c r="E23" s="75">
        <f>'LIBRO DIARIO'!K75</f>
        <v>1320000</v>
      </c>
      <c r="F23" s="74"/>
    </row>
    <row r="24" spans="1:6" ht="31.2" x14ac:dyDescent="0.3">
      <c r="A24" s="78">
        <v>12</v>
      </c>
      <c r="B24" s="76">
        <f>'LIBRO DIARIO'!H78</f>
        <v>45427</v>
      </c>
      <c r="C24" s="82" t="str">
        <f>'LIBRO DIARIO'!I81</f>
        <v>PAGO DE SERVICIOS DE INTERNET</v>
      </c>
      <c r="D24" s="74"/>
      <c r="E24" s="75">
        <f>'LIBRO DIARIO'!K80</f>
        <v>980000</v>
      </c>
      <c r="F24" s="74"/>
    </row>
    <row r="25" spans="1:6" ht="31.2" x14ac:dyDescent="0.3">
      <c r="A25" s="78">
        <f>'LIBRO DIARIO'!G83</f>
        <v>13</v>
      </c>
      <c r="B25" s="76">
        <f>'LIBRO DIARIO'!H83</f>
        <v>45432</v>
      </c>
      <c r="C25" s="82" t="str">
        <f>'LIBRO DIARIO'!I86</f>
        <v>PAGO DE HONORARIOS A CONTADOR</v>
      </c>
      <c r="D25" s="74"/>
      <c r="E25" s="75">
        <f>'LIBRO DIARIO'!K85</f>
        <v>5080000</v>
      </c>
      <c r="F25" s="74"/>
    </row>
    <row r="26" spans="1:6" x14ac:dyDescent="0.3">
      <c r="A26" s="78">
        <v>14</v>
      </c>
      <c r="B26" s="76">
        <f>'LIBRO DIARIO'!H88</f>
        <v>45443</v>
      </c>
      <c r="C26" s="82" t="str">
        <f>'LIBRO DIARIO'!I92</f>
        <v>SALARIO DE KARINA DUARTE</v>
      </c>
      <c r="D26" s="74"/>
      <c r="E26" s="75">
        <f>'LIBRO DIARIO'!K90</f>
        <v>2730000</v>
      </c>
      <c r="F26" s="74"/>
    </row>
    <row r="27" spans="1:6" x14ac:dyDescent="0.3">
      <c r="A27" s="78">
        <v>15</v>
      </c>
      <c r="B27" s="76">
        <f>B26</f>
        <v>45443</v>
      </c>
      <c r="C27" s="82" t="str">
        <f>'LIBRO DIARIO'!I98</f>
        <v>SALARIO DE NELSON KANASAWA</v>
      </c>
      <c r="D27" s="74"/>
      <c r="E27" s="75">
        <f>'LIBRO DIARIO'!K96</f>
        <v>3185000</v>
      </c>
      <c r="F27" s="74"/>
    </row>
    <row r="28" spans="1:6" x14ac:dyDescent="0.3">
      <c r="A28" s="78">
        <v>16</v>
      </c>
      <c r="B28" s="84">
        <f>B26</f>
        <v>45443</v>
      </c>
      <c r="C28" s="83" t="str">
        <f>'LIBRO DIARIO'!I104</f>
        <v>SALARIO DE JUAN FIGUEROA</v>
      </c>
      <c r="E28" s="85">
        <f>'LIBRO DIARIO'!K97</f>
        <v>892500</v>
      </c>
    </row>
    <row r="30" spans="1:6" ht="21.6" thickBot="1" x14ac:dyDescent="0.45">
      <c r="A30" s="7" t="s">
        <v>11</v>
      </c>
      <c r="B30" s="8">
        <v>3</v>
      </c>
      <c r="C30" s="80" t="s">
        <v>12</v>
      </c>
      <c r="D30" s="49" t="s">
        <v>30</v>
      </c>
      <c r="E30" s="9"/>
      <c r="F30" s="10"/>
    </row>
    <row r="31" spans="1:6" ht="16.2" thickBot="1" x14ac:dyDescent="0.35">
      <c r="A31" s="4" t="s">
        <v>1</v>
      </c>
      <c r="B31" s="5" t="s">
        <v>2</v>
      </c>
      <c r="C31" s="81" t="s">
        <v>10</v>
      </c>
      <c r="D31" s="5" t="s">
        <v>4</v>
      </c>
      <c r="E31" s="5" t="s">
        <v>5</v>
      </c>
      <c r="F31" s="6" t="s">
        <v>9</v>
      </c>
    </row>
    <row r="32" spans="1:6" x14ac:dyDescent="0.3">
      <c r="A32" s="3">
        <v>1</v>
      </c>
      <c r="B32" s="28">
        <f>'LIBRO DIARIO'!H5</f>
        <v>45413</v>
      </c>
      <c r="C32" s="70" t="str">
        <f>'LIBRO DIARIO'!I12</f>
        <v>ASIENTO DE APERTURA DE EMPRESA POLITEC</v>
      </c>
      <c r="D32" s="30">
        <f>'LIBRO DIARIO'!J8</f>
        <v>100000000</v>
      </c>
      <c r="E32" s="3"/>
      <c r="F32" s="3"/>
    </row>
    <row r="33" spans="1:6" x14ac:dyDescent="0.3">
      <c r="A33" s="1"/>
      <c r="B33" s="1"/>
      <c r="C33" s="73"/>
      <c r="D33" s="1"/>
      <c r="E33" s="1"/>
      <c r="F33" s="1"/>
    </row>
    <row r="34" spans="1:6" x14ac:dyDescent="0.3">
      <c r="A34" s="1"/>
      <c r="B34" s="1"/>
      <c r="C34" s="73"/>
      <c r="D34" s="1"/>
      <c r="E34" s="1"/>
      <c r="F34" s="1"/>
    </row>
    <row r="35" spans="1:6" x14ac:dyDescent="0.3">
      <c r="A35" s="1"/>
      <c r="B35" s="1"/>
      <c r="C35" s="73"/>
      <c r="D35" s="1"/>
      <c r="E35" s="1"/>
      <c r="F35" s="1"/>
    </row>
    <row r="38" spans="1:6" ht="21.6" thickBot="1" x14ac:dyDescent="0.45">
      <c r="A38" s="7" t="s">
        <v>11</v>
      </c>
      <c r="B38" s="8">
        <v>4</v>
      </c>
      <c r="C38" s="80" t="s">
        <v>12</v>
      </c>
      <c r="D38" s="49" t="s">
        <v>31</v>
      </c>
      <c r="E38" s="9"/>
      <c r="F38" s="10"/>
    </row>
    <row r="39" spans="1:6" ht="16.2" thickBot="1" x14ac:dyDescent="0.35">
      <c r="A39" s="4" t="s">
        <v>1</v>
      </c>
      <c r="B39" s="5" t="s">
        <v>2</v>
      </c>
      <c r="C39" s="81" t="s">
        <v>10</v>
      </c>
      <c r="D39" s="5" t="s">
        <v>4</v>
      </c>
      <c r="E39" s="5" t="s">
        <v>5</v>
      </c>
      <c r="F39" s="6" t="s">
        <v>9</v>
      </c>
    </row>
    <row r="40" spans="1:6" x14ac:dyDescent="0.3">
      <c r="A40" s="3">
        <v>1</v>
      </c>
      <c r="B40" s="28">
        <f>B32</f>
        <v>45413</v>
      </c>
      <c r="C40" s="70" t="str">
        <f>C32</f>
        <v>ASIENTO DE APERTURA DE EMPRESA POLITEC</v>
      </c>
      <c r="D40" s="30">
        <f>'LIBRO DIARIO'!J9</f>
        <v>1300000</v>
      </c>
      <c r="E40" s="3"/>
      <c r="F40" s="3"/>
    </row>
    <row r="41" spans="1:6" x14ac:dyDescent="0.3">
      <c r="A41" s="1"/>
      <c r="B41" s="1"/>
      <c r="C41" s="73"/>
      <c r="D41" s="1"/>
      <c r="E41" s="1"/>
      <c r="F41" s="1"/>
    </row>
    <row r="42" spans="1:6" x14ac:dyDescent="0.3">
      <c r="A42" s="1"/>
      <c r="B42" s="1"/>
      <c r="C42" s="73"/>
      <c r="D42" s="1"/>
      <c r="E42" s="1"/>
      <c r="F42" s="1"/>
    </row>
    <row r="43" spans="1:6" x14ac:dyDescent="0.3">
      <c r="A43" s="1"/>
      <c r="B43" s="1"/>
      <c r="C43" s="73"/>
      <c r="D43" s="1"/>
      <c r="E43" s="1"/>
      <c r="F43" s="1"/>
    </row>
    <row r="46" spans="1:6" ht="21.6" thickBot="1" x14ac:dyDescent="0.45">
      <c r="A46" s="7" t="s">
        <v>11</v>
      </c>
      <c r="B46" s="8">
        <v>5</v>
      </c>
      <c r="C46" s="80" t="s">
        <v>12</v>
      </c>
      <c r="D46" s="49" t="str">
        <f>'LIBRO DIARIO'!I10</f>
        <v>DEUDAS BANCARIAS</v>
      </c>
      <c r="E46" s="9"/>
      <c r="F46" s="10"/>
    </row>
    <row r="47" spans="1:6" ht="16.2" thickBot="1" x14ac:dyDescent="0.35">
      <c r="A47" s="4" t="s">
        <v>1</v>
      </c>
      <c r="B47" s="5" t="s">
        <v>2</v>
      </c>
      <c r="C47" s="81" t="s">
        <v>10</v>
      </c>
      <c r="D47" s="5" t="s">
        <v>4</v>
      </c>
      <c r="E47" s="5" t="s">
        <v>5</v>
      </c>
      <c r="F47" s="6" t="s">
        <v>9</v>
      </c>
    </row>
    <row r="48" spans="1:6" x14ac:dyDescent="0.3">
      <c r="A48" s="3">
        <f>A40</f>
        <v>1</v>
      </c>
      <c r="B48" s="28">
        <f>B40</f>
        <v>45413</v>
      </c>
      <c r="C48" s="70" t="str">
        <f>C40</f>
        <v>ASIENTO DE APERTURA DE EMPRESA POLITEC</v>
      </c>
      <c r="D48" s="3"/>
      <c r="E48" s="30">
        <f>'LIBRO DIARIO'!K10</f>
        <v>200000000</v>
      </c>
      <c r="F48" s="3"/>
    </row>
    <row r="49" spans="1:6" x14ac:dyDescent="0.3">
      <c r="A49" s="1"/>
      <c r="B49" s="29"/>
      <c r="C49" s="73"/>
      <c r="D49" s="1"/>
      <c r="E49" s="1"/>
      <c r="F49" s="1"/>
    </row>
    <row r="50" spans="1:6" x14ac:dyDescent="0.3">
      <c r="A50" s="1"/>
      <c r="B50" s="29"/>
      <c r="C50" s="73"/>
      <c r="D50" s="1"/>
      <c r="E50" s="1"/>
      <c r="F50" s="1"/>
    </row>
    <row r="51" spans="1:6" x14ac:dyDescent="0.3">
      <c r="A51" s="1"/>
      <c r="B51" s="29"/>
      <c r="C51" s="73"/>
      <c r="D51" s="1"/>
      <c r="E51" s="1"/>
      <c r="F51" s="1"/>
    </row>
    <row r="54" spans="1:6" ht="21.6" thickBot="1" x14ac:dyDescent="0.45">
      <c r="A54" s="7" t="s">
        <v>11</v>
      </c>
      <c r="B54" s="8">
        <v>6</v>
      </c>
      <c r="C54" s="80" t="s">
        <v>12</v>
      </c>
      <c r="D54" s="8" t="str">
        <f>'LIBRO DIARIO'!I11</f>
        <v>CAPITAL</v>
      </c>
      <c r="E54" s="9"/>
      <c r="F54" s="10"/>
    </row>
    <row r="55" spans="1:6" ht="16.2" thickBot="1" x14ac:dyDescent="0.35">
      <c r="A55" s="4" t="s">
        <v>1</v>
      </c>
      <c r="B55" s="5" t="s">
        <v>2</v>
      </c>
      <c r="C55" s="81" t="s">
        <v>10</v>
      </c>
      <c r="D55" s="5" t="s">
        <v>4</v>
      </c>
      <c r="E55" s="5" t="s">
        <v>5</v>
      </c>
      <c r="F55" s="6" t="s">
        <v>9</v>
      </c>
    </row>
    <row r="56" spans="1:6" x14ac:dyDescent="0.3">
      <c r="A56" s="3">
        <v>1</v>
      </c>
      <c r="B56" s="28">
        <f>'LIBRO DIARIO'!H5</f>
        <v>45413</v>
      </c>
      <c r="C56" s="70" t="str">
        <f>C48</f>
        <v>ASIENTO DE APERTURA DE EMPRESA POLITEC</v>
      </c>
      <c r="D56" s="3"/>
      <c r="E56" s="30">
        <f>E48</f>
        <v>200000000</v>
      </c>
      <c r="F56" s="3"/>
    </row>
    <row r="57" spans="1:6" x14ac:dyDescent="0.3">
      <c r="A57" s="1"/>
      <c r="B57" s="1"/>
      <c r="C57" s="73"/>
      <c r="D57" s="1"/>
      <c r="E57" s="1"/>
      <c r="F57" s="1"/>
    </row>
    <row r="58" spans="1:6" x14ac:dyDescent="0.3">
      <c r="A58" s="1"/>
      <c r="B58" s="1"/>
      <c r="C58" s="73"/>
      <c r="D58" s="1"/>
      <c r="E58" s="1"/>
      <c r="F58" s="1"/>
    </row>
    <row r="59" spans="1:6" x14ac:dyDescent="0.3">
      <c r="A59" s="1"/>
      <c r="B59" s="1"/>
      <c r="C59" s="73"/>
      <c r="D59" s="1"/>
      <c r="E59" s="1"/>
      <c r="F59" s="1"/>
    </row>
    <row r="62" spans="1:6" ht="21.6" thickBot="1" x14ac:dyDescent="0.45">
      <c r="A62" s="7" t="s">
        <v>11</v>
      </c>
      <c r="B62" s="8">
        <v>7</v>
      </c>
      <c r="C62" s="80" t="s">
        <v>12</v>
      </c>
      <c r="D62" s="8" t="str">
        <f>'LIBRO DIARIO'!I14</f>
        <v>MUEBLES Y UTILES</v>
      </c>
      <c r="E62" s="9"/>
      <c r="F62" s="10"/>
    </row>
    <row r="63" spans="1:6" ht="16.2" thickBot="1" x14ac:dyDescent="0.35">
      <c r="A63" s="4" t="s">
        <v>1</v>
      </c>
      <c r="B63" s="5" t="s">
        <v>2</v>
      </c>
      <c r="C63" s="81" t="s">
        <v>10</v>
      </c>
      <c r="D63" s="5" t="s">
        <v>4</v>
      </c>
      <c r="E63" s="5" t="s">
        <v>5</v>
      </c>
      <c r="F63" s="6" t="s">
        <v>9</v>
      </c>
    </row>
    <row r="64" spans="1:6" x14ac:dyDescent="0.3">
      <c r="A64" s="3">
        <f>'LIBRO DIARIO'!G14</f>
        <v>2</v>
      </c>
      <c r="B64" s="28">
        <f>'LIBRO DIARIO'!H14</f>
        <v>45414</v>
      </c>
      <c r="C64" s="70" t="str">
        <f>'LIBRO DIARIO'!I17</f>
        <v>COMPRA DE MOBILIARIOS PARA USO DE LA EMPRESA</v>
      </c>
      <c r="D64" s="30">
        <f>'LIBRO DIARIO'!J14</f>
        <v>2409090.9090909087</v>
      </c>
      <c r="E64" s="3"/>
      <c r="F64" s="3"/>
    </row>
    <row r="65" spans="1:6" x14ac:dyDescent="0.3">
      <c r="A65" s="1"/>
      <c r="B65" s="1"/>
      <c r="C65" s="73"/>
      <c r="D65" s="1"/>
      <c r="E65" s="1"/>
      <c r="F65" s="1"/>
    </row>
    <row r="66" spans="1:6" x14ac:dyDescent="0.3">
      <c r="A66" s="1"/>
      <c r="B66" s="1"/>
      <c r="C66" s="73"/>
      <c r="D66" s="1"/>
      <c r="E66" s="1"/>
      <c r="F66" s="1"/>
    </row>
    <row r="67" spans="1:6" x14ac:dyDescent="0.3">
      <c r="A67" s="1"/>
      <c r="B67" s="1"/>
      <c r="C67" s="73"/>
      <c r="D67" s="1"/>
      <c r="E67" s="1"/>
      <c r="F67" s="1"/>
    </row>
    <row r="70" spans="1:6" ht="21.6" thickBot="1" x14ac:dyDescent="0.45">
      <c r="A70" s="7" t="s">
        <v>11</v>
      </c>
      <c r="B70" s="8">
        <v>7</v>
      </c>
      <c r="C70" s="80" t="s">
        <v>12</v>
      </c>
      <c r="D70" s="8" t="str">
        <f>'LIBRO DIARIO'!I15</f>
        <v>IVA CF 10%</v>
      </c>
      <c r="E70" s="9"/>
      <c r="F70" s="10"/>
    </row>
    <row r="71" spans="1:6" ht="16.2" thickBot="1" x14ac:dyDescent="0.35">
      <c r="A71" s="4" t="s">
        <v>1</v>
      </c>
      <c r="B71" s="5" t="s">
        <v>2</v>
      </c>
      <c r="C71" s="81" t="s">
        <v>10</v>
      </c>
      <c r="D71" s="5" t="s">
        <v>4</v>
      </c>
      <c r="E71" s="5" t="s">
        <v>5</v>
      </c>
      <c r="F71" s="6" t="s">
        <v>9</v>
      </c>
    </row>
    <row r="72" spans="1:6" x14ac:dyDescent="0.3">
      <c r="A72" s="3">
        <f>'LIBRO DIARIO'!G14</f>
        <v>2</v>
      </c>
      <c r="B72" s="28">
        <f>'LIBRO DIARIO'!H14</f>
        <v>45414</v>
      </c>
      <c r="C72" s="70" t="str">
        <f>'LIBRO DIARIO'!I17</f>
        <v>COMPRA DE MOBILIARIOS PARA USO DE LA EMPRESA</v>
      </c>
      <c r="D72" s="30">
        <f>'LIBRO DIARIO'!J15</f>
        <v>240909.09090909091</v>
      </c>
      <c r="E72" s="3"/>
      <c r="F72" s="3"/>
    </row>
    <row r="73" spans="1:6" x14ac:dyDescent="0.3">
      <c r="A73" s="1">
        <v>3</v>
      </c>
      <c r="B73" s="29">
        <f>'LIBRO DIARIO'!H19</f>
        <v>45415</v>
      </c>
      <c r="C73" s="73" t="str">
        <f>'LIBRO DIARIO'!I23</f>
        <v>COMPRA DE CAMIONETA NISSAN SEGÚN FACTURA NRO.003-002-0016559</v>
      </c>
      <c r="D73" s="72">
        <f>'LIBRO DIARIO'!J20</f>
        <v>4272727.2727272725</v>
      </c>
      <c r="E73" s="1"/>
      <c r="F73" s="1"/>
    </row>
    <row r="74" spans="1:6" x14ac:dyDescent="0.3">
      <c r="A74" s="1">
        <v>4</v>
      </c>
      <c r="B74" s="29">
        <f>'LIBRO DIARIO'!H25</f>
        <v>45416</v>
      </c>
      <c r="C74" s="73" t="str">
        <f>'LIBRO DIARIO'!I31</f>
        <v>COMPRA DE MERCADERIAS</v>
      </c>
      <c r="D74" s="72">
        <f>'LIBRO DIARIO'!J26</f>
        <v>18772727.272727273</v>
      </c>
      <c r="E74" s="1"/>
      <c r="F74" s="1"/>
    </row>
    <row r="75" spans="1:6" x14ac:dyDescent="0.3">
      <c r="A75" s="1">
        <f>A74</f>
        <v>4</v>
      </c>
      <c r="B75" s="29">
        <f>B74</f>
        <v>45416</v>
      </c>
      <c r="C75" s="73" t="str">
        <f>C74</f>
        <v>COMPRA DE MERCADERIAS</v>
      </c>
      <c r="D75" s="72">
        <f>'LIBRO DIARIO'!J28</f>
        <v>1636363.6363636365</v>
      </c>
      <c r="E75" s="1"/>
      <c r="F75" s="1"/>
    </row>
    <row r="76" spans="1:6" x14ac:dyDescent="0.3">
      <c r="A76" s="1">
        <v>7</v>
      </c>
      <c r="B76" s="29">
        <f>'LIBRO DIARIO'!H47</f>
        <v>45420</v>
      </c>
      <c r="C76" s="73" t="str">
        <f>'LIBRO DIARIO'!I53</f>
        <v>COMPRA DE MERCADERIAS A CONTADO</v>
      </c>
      <c r="D76" s="72">
        <f>'LIBRO DIARIO'!J48</f>
        <v>5363636.3636363633</v>
      </c>
      <c r="E76" s="1"/>
      <c r="F76" s="1"/>
    </row>
    <row r="77" spans="1:6" x14ac:dyDescent="0.3">
      <c r="A77" s="74">
        <f>A76</f>
        <v>7</v>
      </c>
      <c r="B77" s="76">
        <f>B76</f>
        <v>45420</v>
      </c>
      <c r="C77" s="82" t="str">
        <f>C76</f>
        <v>COMPRA DE MERCADERIAS A CONTADO</v>
      </c>
      <c r="D77" s="75">
        <f>'LIBRO DIARIO'!J50</f>
        <v>272727.27272727271</v>
      </c>
      <c r="E77" s="74"/>
      <c r="F77" s="74"/>
    </row>
    <row r="78" spans="1:6" x14ac:dyDescent="0.3">
      <c r="A78" s="74"/>
      <c r="B78" s="74"/>
      <c r="C78" s="82"/>
      <c r="D78" s="74"/>
      <c r="E78" s="74"/>
      <c r="F78" s="74"/>
    </row>
    <row r="81" spans="1:6" ht="21.6" thickBot="1" x14ac:dyDescent="0.45">
      <c r="A81" s="7" t="s">
        <v>11</v>
      </c>
      <c r="B81" s="8">
        <v>8</v>
      </c>
      <c r="C81" s="80" t="s">
        <v>12</v>
      </c>
      <c r="D81" s="8"/>
      <c r="E81" s="9"/>
      <c r="F81" s="10"/>
    </row>
    <row r="82" spans="1:6" ht="16.2" thickBot="1" x14ac:dyDescent="0.35">
      <c r="A82" s="4" t="s">
        <v>1</v>
      </c>
      <c r="B82" s="5" t="s">
        <v>2</v>
      </c>
      <c r="C82" s="81" t="s">
        <v>10</v>
      </c>
      <c r="D82" s="5" t="s">
        <v>4</v>
      </c>
      <c r="E82" s="5" t="s">
        <v>5</v>
      </c>
      <c r="F82" s="6" t="s">
        <v>9</v>
      </c>
    </row>
    <row r="83" spans="1:6" x14ac:dyDescent="0.3">
      <c r="A83" s="3"/>
      <c r="B83" s="3"/>
      <c r="C83" s="70"/>
      <c r="D83" s="30"/>
      <c r="E83" s="3"/>
      <c r="F83" s="30"/>
    </row>
    <row r="84" spans="1:6" x14ac:dyDescent="0.3">
      <c r="A84" s="1"/>
      <c r="B84" s="1"/>
      <c r="C84" s="73"/>
      <c r="D84" s="1"/>
      <c r="E84" s="1"/>
      <c r="F84" s="1"/>
    </row>
    <row r="85" spans="1:6" x14ac:dyDescent="0.3">
      <c r="A85" s="1"/>
      <c r="B85" s="1"/>
      <c r="C85" s="73"/>
      <c r="D85" s="1"/>
      <c r="E85" s="1"/>
      <c r="F85" s="1"/>
    </row>
    <row r="86" spans="1:6" x14ac:dyDescent="0.3">
      <c r="A86" s="1"/>
      <c r="B86" s="1"/>
      <c r="C86" s="73"/>
      <c r="D86" s="1"/>
      <c r="E86" s="1"/>
      <c r="F86" s="1"/>
    </row>
    <row r="89" spans="1:6" ht="21.6" thickBot="1" x14ac:dyDescent="0.45">
      <c r="A89" s="7" t="s">
        <v>11</v>
      </c>
      <c r="B89" s="8">
        <v>9</v>
      </c>
      <c r="C89" s="80" t="s">
        <v>12</v>
      </c>
      <c r="D89" s="8"/>
      <c r="E89" s="9"/>
      <c r="F89" s="10"/>
    </row>
    <row r="90" spans="1:6" ht="16.2" thickBot="1" x14ac:dyDescent="0.35">
      <c r="A90" s="4" t="s">
        <v>1</v>
      </c>
      <c r="B90" s="5" t="s">
        <v>2</v>
      </c>
      <c r="C90" s="81" t="s">
        <v>10</v>
      </c>
      <c r="D90" s="5" t="s">
        <v>4</v>
      </c>
      <c r="E90" s="5" t="s">
        <v>5</v>
      </c>
      <c r="F90" s="6" t="s">
        <v>9</v>
      </c>
    </row>
    <row r="91" spans="1:6" x14ac:dyDescent="0.3">
      <c r="A91" s="3"/>
      <c r="B91" s="3"/>
      <c r="C91" s="70"/>
      <c r="D91" s="3"/>
      <c r="E91" s="3"/>
      <c r="F91" s="3"/>
    </row>
    <row r="92" spans="1:6" x14ac:dyDescent="0.3">
      <c r="A92" s="1"/>
      <c r="B92" s="1"/>
      <c r="C92" s="73"/>
      <c r="D92" s="1"/>
      <c r="E92" s="1"/>
      <c r="F92" s="1"/>
    </row>
    <row r="93" spans="1:6" x14ac:dyDescent="0.3">
      <c r="A93" s="1"/>
      <c r="B93" s="1"/>
      <c r="C93" s="73"/>
      <c r="D93" s="1"/>
      <c r="E93" s="1"/>
      <c r="F93" s="1"/>
    </row>
    <row r="94" spans="1:6" x14ac:dyDescent="0.3">
      <c r="A94" s="1"/>
      <c r="B94" s="1"/>
      <c r="C94" s="73"/>
      <c r="D94" s="1"/>
      <c r="E94" s="1"/>
      <c r="F94" s="1"/>
    </row>
    <row r="97" spans="1:6" ht="21.6" thickBot="1" x14ac:dyDescent="0.45">
      <c r="A97" s="7" t="s">
        <v>11</v>
      </c>
      <c r="B97" s="8">
        <v>10</v>
      </c>
      <c r="C97" s="80" t="s">
        <v>12</v>
      </c>
      <c r="D97" s="8"/>
      <c r="E97" s="9"/>
      <c r="F97" s="10"/>
    </row>
    <row r="98" spans="1:6" ht="16.2" thickBot="1" x14ac:dyDescent="0.35">
      <c r="A98" s="4" t="s">
        <v>1</v>
      </c>
      <c r="B98" s="5" t="s">
        <v>2</v>
      </c>
      <c r="C98" s="81" t="s">
        <v>10</v>
      </c>
      <c r="D98" s="5" t="s">
        <v>4</v>
      </c>
      <c r="E98" s="5" t="s">
        <v>5</v>
      </c>
      <c r="F98" s="6" t="s">
        <v>9</v>
      </c>
    </row>
    <row r="99" spans="1:6" x14ac:dyDescent="0.3">
      <c r="A99" s="3"/>
      <c r="B99" s="3"/>
      <c r="C99" s="70"/>
      <c r="D99" s="3"/>
      <c r="E99" s="3"/>
      <c r="F99" s="3"/>
    </row>
    <row r="100" spans="1:6" x14ac:dyDescent="0.3">
      <c r="A100" s="1"/>
      <c r="B100" s="1"/>
      <c r="C100" s="73"/>
      <c r="D100" s="1"/>
      <c r="E100" s="1"/>
      <c r="F100" s="1"/>
    </row>
    <row r="101" spans="1:6" x14ac:dyDescent="0.3">
      <c r="A101" s="1"/>
      <c r="B101" s="1"/>
      <c r="C101" s="73"/>
      <c r="D101" s="1"/>
      <c r="E101" s="1"/>
      <c r="F101" s="1"/>
    </row>
    <row r="102" spans="1:6" x14ac:dyDescent="0.3">
      <c r="A102" s="1"/>
      <c r="B102" s="1"/>
      <c r="C102" s="73"/>
      <c r="D102" s="1"/>
      <c r="E102" s="1"/>
      <c r="F102" s="1"/>
    </row>
    <row r="105" spans="1:6" ht="21.6" thickBot="1" x14ac:dyDescent="0.45">
      <c r="A105" s="7" t="s">
        <v>11</v>
      </c>
      <c r="B105" s="8"/>
      <c r="C105" s="80" t="s">
        <v>12</v>
      </c>
      <c r="D105" s="8"/>
      <c r="E105" s="9"/>
      <c r="F105" s="10"/>
    </row>
    <row r="106" spans="1:6" ht="16.2" thickBot="1" x14ac:dyDescent="0.35">
      <c r="A106" s="4" t="s">
        <v>1</v>
      </c>
      <c r="B106" s="5" t="s">
        <v>2</v>
      </c>
      <c r="C106" s="81" t="s">
        <v>10</v>
      </c>
      <c r="D106" s="5" t="s">
        <v>4</v>
      </c>
      <c r="E106" s="5" t="s">
        <v>5</v>
      </c>
      <c r="F106" s="6" t="s">
        <v>9</v>
      </c>
    </row>
    <row r="107" spans="1:6" x14ac:dyDescent="0.3">
      <c r="A107" s="3"/>
      <c r="B107" s="3"/>
      <c r="C107" s="70"/>
      <c r="D107" s="3"/>
      <c r="E107" s="3"/>
      <c r="F107" s="3"/>
    </row>
    <row r="108" spans="1:6" x14ac:dyDescent="0.3">
      <c r="A108" s="1"/>
      <c r="B108" s="1"/>
      <c r="C108" s="73"/>
      <c r="D108" s="1"/>
      <c r="E108" s="1"/>
      <c r="F108" s="1"/>
    </row>
    <row r="109" spans="1:6" x14ac:dyDescent="0.3">
      <c r="A109" s="1"/>
      <c r="B109" s="1"/>
      <c r="C109" s="73"/>
      <c r="D109" s="1"/>
      <c r="E109" s="1"/>
      <c r="F109" s="1"/>
    </row>
    <row r="110" spans="1:6" x14ac:dyDescent="0.3">
      <c r="A110" s="1"/>
      <c r="B110" s="1"/>
      <c r="C110" s="73"/>
      <c r="D110" s="1"/>
      <c r="E110" s="1"/>
      <c r="F110" s="1"/>
    </row>
    <row r="113" spans="1:6" ht="21.6" thickBot="1" x14ac:dyDescent="0.45">
      <c r="A113" s="7" t="s">
        <v>11</v>
      </c>
      <c r="B113" s="8"/>
      <c r="C113" s="80" t="s">
        <v>12</v>
      </c>
      <c r="D113" s="8"/>
      <c r="E113" s="9"/>
      <c r="F113" s="10"/>
    </row>
    <row r="114" spans="1:6" ht="16.2" thickBot="1" x14ac:dyDescent="0.35">
      <c r="A114" s="4" t="s">
        <v>1</v>
      </c>
      <c r="B114" s="5" t="s">
        <v>2</v>
      </c>
      <c r="C114" s="81" t="s">
        <v>10</v>
      </c>
      <c r="D114" s="5" t="s">
        <v>4</v>
      </c>
      <c r="E114" s="5" t="s">
        <v>5</v>
      </c>
      <c r="F114" s="6" t="s">
        <v>9</v>
      </c>
    </row>
    <row r="115" spans="1:6" x14ac:dyDescent="0.3">
      <c r="A115" s="3"/>
      <c r="B115" s="3"/>
      <c r="C115" s="70"/>
      <c r="D115" s="3"/>
      <c r="E115" s="3"/>
      <c r="F115" s="3"/>
    </row>
    <row r="116" spans="1:6" x14ac:dyDescent="0.3">
      <c r="A116" s="1"/>
      <c r="B116" s="1"/>
      <c r="C116" s="73"/>
      <c r="D116" s="1"/>
      <c r="E116" s="1"/>
      <c r="F116" s="1"/>
    </row>
    <row r="117" spans="1:6" x14ac:dyDescent="0.3">
      <c r="A117" s="1"/>
      <c r="B117" s="1"/>
      <c r="C117" s="73"/>
      <c r="D117" s="1"/>
      <c r="E117" s="1"/>
      <c r="F117" s="1"/>
    </row>
    <row r="118" spans="1:6" x14ac:dyDescent="0.3">
      <c r="A118" s="1"/>
      <c r="B118" s="1"/>
      <c r="C118" s="73"/>
      <c r="D118" s="1"/>
      <c r="E118" s="1"/>
      <c r="F118" s="1"/>
    </row>
  </sheetData>
  <mergeCells count="1">
    <mergeCell ref="A1:E1"/>
  </mergeCells>
  <pageMargins left="0.7" right="0.7" top="0.75" bottom="0.75" header="0.3" footer="0.3"/>
  <pageSetup paperSize="17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7"/>
  <sheetViews>
    <sheetView workbookViewId="0">
      <selection activeCell="B18" sqref="B18"/>
    </sheetView>
  </sheetViews>
  <sheetFormatPr defaultColWidth="10.90625" defaultRowHeight="15.6" x14ac:dyDescent="0.3"/>
  <cols>
    <col min="2" max="2" width="26.36328125" customWidth="1"/>
    <col min="7" max="7" width="13.453125" customWidth="1"/>
    <col min="8" max="8" width="13.81640625" customWidth="1"/>
    <col min="9" max="9" width="14.90625" bestFit="1" customWidth="1"/>
    <col min="10" max="10" width="15.6328125" customWidth="1"/>
  </cols>
  <sheetData>
    <row r="1" spans="1:12" ht="21" x14ac:dyDescent="0.4">
      <c r="A1" s="11" t="s">
        <v>13</v>
      </c>
      <c r="B1" s="11"/>
      <c r="C1" s="11"/>
      <c r="D1" s="11"/>
      <c r="E1" s="11"/>
      <c r="F1" s="12"/>
      <c r="G1" s="12"/>
      <c r="H1" s="12"/>
      <c r="I1" s="12"/>
      <c r="J1" s="12"/>
      <c r="K1" s="12"/>
      <c r="L1" s="12"/>
    </row>
    <row r="2" spans="1:12" ht="16.2" thickBot="1" x14ac:dyDescent="0.35"/>
    <row r="3" spans="1:12" ht="16.2" thickBot="1" x14ac:dyDescent="0.35">
      <c r="A3" s="64" t="s">
        <v>14</v>
      </c>
      <c r="B3" s="64" t="s">
        <v>15</v>
      </c>
      <c r="C3" s="66" t="s">
        <v>16</v>
      </c>
      <c r="D3" s="67"/>
      <c r="E3" s="68" t="s">
        <v>17</v>
      </c>
      <c r="F3" s="69"/>
      <c r="G3" s="62" t="s">
        <v>20</v>
      </c>
      <c r="H3" s="63"/>
      <c r="I3" s="62" t="s">
        <v>21</v>
      </c>
      <c r="J3" s="63"/>
    </row>
    <row r="4" spans="1:12" ht="16.2" thickBot="1" x14ac:dyDescent="0.35">
      <c r="A4" s="65"/>
      <c r="B4" s="65"/>
      <c r="C4" s="13" t="s">
        <v>4</v>
      </c>
      <c r="D4" s="14" t="s">
        <v>5</v>
      </c>
      <c r="E4" s="13" t="s">
        <v>18</v>
      </c>
      <c r="F4" s="14" t="s">
        <v>19</v>
      </c>
      <c r="G4" s="31" t="s">
        <v>22</v>
      </c>
      <c r="H4" s="31" t="s">
        <v>23</v>
      </c>
      <c r="I4" s="32" t="s">
        <v>24</v>
      </c>
      <c r="J4" s="31" t="s">
        <v>25</v>
      </c>
    </row>
    <row r="5" spans="1:12" x14ac:dyDescent="0.3">
      <c r="A5" s="3">
        <f>'LIBRO MAYOR'!B3</f>
        <v>1</v>
      </c>
      <c r="B5" s="3" t="str">
        <f>'LIBRO MAYOR'!D3</f>
        <v>FONDO FIJO</v>
      </c>
      <c r="C5" s="15"/>
      <c r="D5" s="15"/>
      <c r="E5" s="15"/>
      <c r="F5" s="15"/>
      <c r="G5" s="15"/>
      <c r="H5" s="15"/>
      <c r="I5" s="15"/>
      <c r="J5" s="15"/>
    </row>
    <row r="6" spans="1:12" x14ac:dyDescent="0.3">
      <c r="A6" s="1">
        <f>'LIBRO MAYOR'!B11</f>
        <v>2</v>
      </c>
      <c r="B6" s="1" t="str">
        <f>'LIBRO MAYOR'!D11</f>
        <v>BANCO GNB CTA CTE</v>
      </c>
      <c r="C6" s="16"/>
      <c r="D6" s="16"/>
      <c r="E6" s="16"/>
      <c r="F6" s="16"/>
      <c r="G6" s="16"/>
      <c r="H6" s="16"/>
      <c r="I6" s="16"/>
      <c r="J6" s="15"/>
    </row>
    <row r="7" spans="1:12" x14ac:dyDescent="0.3">
      <c r="A7" s="1">
        <f>'LIBRO MAYOR'!B30</f>
        <v>3</v>
      </c>
      <c r="B7" s="1" t="str">
        <f>'LIBRO MAYOR'!D30</f>
        <v>BANCO ITAU PLAZO FIJO</v>
      </c>
      <c r="C7" s="16"/>
      <c r="D7" s="16"/>
      <c r="E7" s="16"/>
      <c r="F7" s="16"/>
      <c r="G7" s="16"/>
      <c r="H7" s="16"/>
      <c r="I7" s="16"/>
      <c r="J7" s="15"/>
    </row>
    <row r="8" spans="1:12" x14ac:dyDescent="0.3">
      <c r="A8" s="3"/>
      <c r="B8" s="3"/>
      <c r="C8" s="16"/>
      <c r="D8" s="16"/>
      <c r="E8" s="16"/>
      <c r="F8" s="16"/>
      <c r="G8" s="16"/>
      <c r="H8" s="16"/>
      <c r="I8" s="16"/>
      <c r="J8" s="15"/>
    </row>
    <row r="9" spans="1:12" x14ac:dyDescent="0.3">
      <c r="A9" s="1"/>
      <c r="B9" s="1"/>
      <c r="C9" s="16"/>
      <c r="D9" s="16"/>
      <c r="E9" s="16"/>
      <c r="F9" s="16"/>
      <c r="G9" s="16"/>
      <c r="H9" s="16"/>
      <c r="I9" s="16"/>
      <c r="J9" s="15"/>
    </row>
    <row r="10" spans="1:12" x14ac:dyDescent="0.3">
      <c r="A10" s="1"/>
      <c r="B10" s="1"/>
      <c r="C10" s="16"/>
      <c r="D10" s="16"/>
      <c r="E10" s="16"/>
      <c r="F10" s="16"/>
      <c r="G10" s="16"/>
      <c r="H10" s="16"/>
      <c r="I10" s="16"/>
      <c r="J10" s="15"/>
    </row>
    <row r="11" spans="1:12" x14ac:dyDescent="0.3">
      <c r="A11" s="3"/>
      <c r="B11" s="3"/>
      <c r="C11" s="16"/>
      <c r="D11" s="16"/>
      <c r="E11" s="16"/>
      <c r="F11" s="16"/>
      <c r="G11" s="16"/>
      <c r="H11" s="16"/>
      <c r="I11" s="16"/>
      <c r="J11" s="15"/>
    </row>
    <row r="12" spans="1:12" x14ac:dyDescent="0.3">
      <c r="A12" s="1"/>
      <c r="B12" s="1"/>
      <c r="C12" s="16"/>
      <c r="D12" s="16"/>
      <c r="E12" s="16"/>
      <c r="F12" s="16"/>
      <c r="G12" s="16"/>
      <c r="H12" s="16"/>
      <c r="I12" s="16"/>
      <c r="J12" s="15"/>
    </row>
    <row r="13" spans="1:12" x14ac:dyDescent="0.3">
      <c r="A13" s="1"/>
      <c r="B13" s="1"/>
      <c r="C13" s="16"/>
      <c r="D13" s="16"/>
      <c r="E13" s="16"/>
      <c r="F13" s="16"/>
      <c r="G13" s="16"/>
      <c r="H13" s="16"/>
      <c r="I13" s="16"/>
      <c r="J13" s="15"/>
    </row>
    <row r="14" spans="1:12" x14ac:dyDescent="0.3">
      <c r="A14" s="3"/>
      <c r="B14" s="3"/>
      <c r="C14" s="16"/>
      <c r="D14" s="16"/>
      <c r="E14" s="16"/>
      <c r="F14" s="16"/>
      <c r="G14" s="16"/>
      <c r="H14" s="16"/>
      <c r="I14" s="16"/>
      <c r="J14" s="15"/>
    </row>
    <row r="15" spans="1:12" x14ac:dyDescent="0.3">
      <c r="A15" s="1"/>
      <c r="B15" s="1"/>
      <c r="C15" s="16"/>
      <c r="D15" s="16"/>
      <c r="E15" s="16"/>
      <c r="F15" s="16"/>
      <c r="G15" s="16"/>
      <c r="H15" s="16"/>
      <c r="I15" s="16"/>
      <c r="J15" s="15"/>
    </row>
    <row r="16" spans="1:12" x14ac:dyDescent="0.3">
      <c r="A16" s="1"/>
      <c r="B16" s="1"/>
      <c r="C16" s="16"/>
      <c r="D16" s="16"/>
      <c r="E16" s="16"/>
      <c r="F16" s="16"/>
      <c r="G16" s="16"/>
      <c r="H16" s="16"/>
      <c r="I16" s="16"/>
      <c r="J16" s="15"/>
    </row>
    <row r="17" spans="1:10" x14ac:dyDescent="0.3">
      <c r="A17" s="3"/>
      <c r="B17" s="3"/>
      <c r="C17" s="16"/>
      <c r="D17" s="16"/>
      <c r="E17" s="16"/>
      <c r="F17" s="16"/>
      <c r="G17" s="16"/>
      <c r="H17" s="16"/>
      <c r="I17" s="16"/>
      <c r="J17" s="15"/>
    </row>
    <row r="18" spans="1:10" x14ac:dyDescent="0.3">
      <c r="A18" s="1"/>
      <c r="B18" s="1"/>
      <c r="C18" s="16"/>
      <c r="D18" s="16"/>
      <c r="E18" s="16"/>
      <c r="F18" s="16"/>
      <c r="G18" s="16"/>
      <c r="H18" s="16"/>
      <c r="I18" s="16"/>
      <c r="J18" s="15"/>
    </row>
    <row r="19" spans="1:10" x14ac:dyDescent="0.3">
      <c r="A19" s="1"/>
      <c r="B19" s="1"/>
      <c r="C19" s="16"/>
      <c r="D19" s="16"/>
      <c r="E19" s="16"/>
      <c r="F19" s="16"/>
      <c r="G19" s="16"/>
      <c r="H19" s="16"/>
      <c r="I19" s="16"/>
      <c r="J19" s="15"/>
    </row>
    <row r="20" spans="1:10" x14ac:dyDescent="0.3">
      <c r="A20" s="1"/>
      <c r="B20" s="1"/>
      <c r="C20" s="16"/>
      <c r="D20" s="16"/>
      <c r="E20" s="16"/>
      <c r="F20" s="16"/>
      <c r="G20" s="16"/>
      <c r="H20" s="16"/>
      <c r="I20" s="16"/>
      <c r="J20" s="15"/>
    </row>
    <row r="21" spans="1:10" x14ac:dyDescent="0.3">
      <c r="A21" s="1"/>
      <c r="B21" s="1"/>
      <c r="C21" s="16"/>
      <c r="D21" s="16"/>
      <c r="E21" s="16"/>
      <c r="F21" s="16"/>
      <c r="G21" s="16"/>
      <c r="H21" s="16"/>
      <c r="I21" s="16"/>
      <c r="J21" s="15"/>
    </row>
    <row r="22" spans="1:10" x14ac:dyDescent="0.3">
      <c r="A22" s="1"/>
      <c r="B22" s="17"/>
      <c r="C22" s="36"/>
      <c r="D22" s="36"/>
      <c r="E22" s="35"/>
      <c r="F22" s="35"/>
      <c r="G22" s="34"/>
      <c r="H22" s="34"/>
      <c r="I22" s="34"/>
      <c r="J22" s="34"/>
    </row>
    <row r="23" spans="1:10" x14ac:dyDescent="0.3">
      <c r="A23" s="1"/>
      <c r="B23" s="1"/>
      <c r="C23" s="1"/>
      <c r="D23" s="1"/>
      <c r="E23" s="1"/>
      <c r="F23" s="1"/>
      <c r="G23" s="33"/>
      <c r="H23" s="33"/>
      <c r="I23" s="33"/>
      <c r="J23" s="33"/>
    </row>
    <row r="24" spans="1:10" x14ac:dyDescent="0.3">
      <c r="A24" s="1"/>
      <c r="B24" s="17"/>
      <c r="C24" s="33"/>
      <c r="D24" s="33"/>
      <c r="E24" s="33"/>
      <c r="F24" s="33"/>
      <c r="G24" s="33"/>
      <c r="H24" s="33"/>
      <c r="I24" s="33"/>
      <c r="J24" s="33"/>
    </row>
    <row r="26" spans="1:10" x14ac:dyDescent="0.3">
      <c r="D26" s="37"/>
    </row>
    <row r="27" spans="1:10" x14ac:dyDescent="0.3">
      <c r="D27" s="37"/>
    </row>
  </sheetData>
  <mergeCells count="6">
    <mergeCell ref="G3:H3"/>
    <mergeCell ref="I3:J3"/>
    <mergeCell ref="A3:A4"/>
    <mergeCell ref="B3:B4"/>
    <mergeCell ref="C3:D3"/>
    <mergeCell ref="E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LIBRO DIARIO</vt:lpstr>
      <vt:lpstr>LIBRO MAYOR</vt:lpstr>
      <vt:lpstr>BG _ER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FPUNA</dc:creator>
  <cp:lastModifiedBy>Gustavo Lesme</cp:lastModifiedBy>
  <dcterms:created xsi:type="dcterms:W3CDTF">2025-04-15T12:33:19Z</dcterms:created>
  <dcterms:modified xsi:type="dcterms:W3CDTF">2026-06-05T02:57:26Z</dcterms:modified>
</cp:coreProperties>
</file>