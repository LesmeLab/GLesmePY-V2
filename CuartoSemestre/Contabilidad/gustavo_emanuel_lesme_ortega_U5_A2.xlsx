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ECA38508-5B18-4A14-BDE2-E0CDFDFABAA6}" xr6:coauthVersionLast="47" xr6:coauthVersionMax="47" xr10:uidLastSave="{00000000-0000-0000-0000-000000000000}"/>
  <bookViews>
    <workbookView xWindow="11520" yWindow="0" windowWidth="11520" windowHeight="12360" xr2:uid="{49CD376F-3D2B-4A03-A92E-490BE260F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1" l="1"/>
  <c r="K20" i="1"/>
  <c r="K13" i="1"/>
  <c r="I13" i="1"/>
  <c r="I20" i="1" s="1"/>
  <c r="I27" i="1" s="1"/>
  <c r="K7" i="1"/>
  <c r="K6" i="1"/>
  <c r="J9" i="1"/>
  <c r="J16" i="1" s="1"/>
  <c r="E21" i="1"/>
  <c r="L30" i="1" s="1"/>
  <c r="C21" i="1"/>
  <c r="K28" i="1" s="1"/>
  <c r="E16" i="1"/>
  <c r="L23" i="1" s="1"/>
  <c r="C16" i="1"/>
  <c r="E15" i="1" s="1"/>
  <c r="E17" i="1" s="1"/>
  <c r="E11" i="1"/>
  <c r="L16" i="1" s="1"/>
  <c r="E6" i="1"/>
  <c r="L9" i="1" s="1"/>
  <c r="C11" i="1"/>
  <c r="K14" i="1" s="1"/>
  <c r="C6" i="1"/>
  <c r="C7" i="1" s="1"/>
  <c r="L22" i="1" l="1"/>
  <c r="J23" i="1"/>
  <c r="J30" i="1" s="1"/>
  <c r="C12" i="1"/>
  <c r="E10" i="1"/>
  <c r="L15" i="1" s="1"/>
  <c r="C22" i="1"/>
  <c r="E20" i="1"/>
  <c r="L29" i="1" s="1"/>
  <c r="K21" i="1"/>
  <c r="C17" i="1"/>
  <c r="E5" i="1"/>
  <c r="E22" i="1" l="1"/>
  <c r="E7" i="1"/>
  <c r="L8" i="1"/>
  <c r="E12" i="1"/>
</calcChain>
</file>

<file path=xl/sharedStrings.xml><?xml version="1.0" encoding="utf-8"?>
<sst xmlns="http://schemas.openxmlformats.org/spreadsheetml/2006/main" count="50" uniqueCount="15">
  <si>
    <t>DEBE</t>
  </si>
  <si>
    <t>HABER</t>
  </si>
  <si>
    <t>FORMATO DEL LIBRO DIARIO</t>
  </si>
  <si>
    <t>NRO</t>
  </si>
  <si>
    <t>FECHA</t>
  </si>
  <si>
    <t>CUENTAS CONTABLES</t>
  </si>
  <si>
    <t>SUELDOS Y JORNALES</t>
  </si>
  <si>
    <t>APORTE PATRONAL</t>
  </si>
  <si>
    <t>IPS A PAGAR</t>
  </si>
  <si>
    <t>BANCO W SA CTA CTE</t>
  </si>
  <si>
    <t>PAGO DE SALARIO</t>
  </si>
  <si>
    <t>DE FULGENCIO YEGROS</t>
  </si>
  <si>
    <t>DE FERNANDO DE LA MORA</t>
  </si>
  <si>
    <t>DE JUANA DE LARA</t>
  </si>
  <si>
    <t>DE PEDRO JUAN 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</si>
</sst>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theme="1"/>
      <name val="Consolas"/>
      <family val="3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3" borderId="6" xfId="0" applyFont="1" applyFill="1" applyBorder="1" applyAlignment="1">
      <alignment horizontal="center"/>
    </xf>
    <xf numFmtId="0" fontId="3" fillId="0" borderId="7" xfId="0" applyFont="1" applyBorder="1"/>
    <xf numFmtId="14" fontId="3" fillId="0" borderId="7" xfId="0" applyNumberFormat="1" applyFont="1" applyBorder="1"/>
    <xf numFmtId="42" fontId="3" fillId="0" borderId="7" xfId="1" applyFont="1" applyBorder="1"/>
    <xf numFmtId="42" fontId="0" fillId="0" borderId="0" xfId="1" applyFont="1"/>
    <xf numFmtId="42" fontId="2" fillId="0" borderId="0" xfId="1" applyFont="1"/>
    <xf numFmtId="0" fontId="2" fillId="2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0" borderId="0" xfId="2" applyFont="1"/>
    <xf numFmtId="0" fontId="2" fillId="0" borderId="5" xfId="2" applyFont="1" applyBorder="1"/>
    <xf numFmtId="0" fontId="4" fillId="0" borderId="0" xfId="0" applyFont="1"/>
    <xf numFmtId="42" fontId="4" fillId="0" borderId="0" xfId="1" applyFont="1"/>
    <xf numFmtId="42" fontId="5" fillId="0" borderId="0" xfId="1" applyFont="1"/>
    <xf numFmtId="0" fontId="0" fillId="0" borderId="7" xfId="0" applyBorder="1"/>
    <xf numFmtId="16" fontId="0" fillId="0" borderId="7" xfId="0" applyNumberFormat="1" applyBorder="1"/>
    <xf numFmtId="42" fontId="0" fillId="0" borderId="7" xfId="0" applyNumberFormat="1" applyBorder="1"/>
    <xf numFmtId="0" fontId="6" fillId="0" borderId="7" xfId="0" applyFont="1" applyBorder="1"/>
    <xf numFmtId="0" fontId="0" fillId="4" borderId="7" xfId="0" applyFill="1" applyBorder="1"/>
  </cellXfs>
  <cellStyles count="3">
    <cellStyle name="Currency [0]" xfId="1" builtinId="7"/>
    <cellStyle name="Normal" xfId="0" builtinId="0"/>
    <cellStyle name="Normal 2" xfId="2" xr:uid="{9A058D55-0A82-4ACA-8583-33BACFB47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BFAC-7DCC-4BE4-9942-5BF65460618F}">
  <dimension ref="B3:L33"/>
  <sheetViews>
    <sheetView tabSelected="1" zoomScale="80" zoomScaleNormal="80" workbookViewId="0"/>
  </sheetViews>
  <sheetFormatPr defaultRowHeight="14.4" x14ac:dyDescent="0.3"/>
  <cols>
    <col min="2" max="2" width="23.21875" bestFit="1" customWidth="1"/>
    <col min="3" max="3" width="13.77734375" style="5" bestFit="1" customWidth="1"/>
    <col min="4" max="4" width="13.44140625" bestFit="1" customWidth="1"/>
    <col min="5" max="5" width="12.88671875" style="5" bestFit="1" customWidth="1"/>
    <col min="10" max="10" width="20.109375" bestFit="1" customWidth="1"/>
    <col min="11" max="12" width="11.6640625" bestFit="1" customWidth="1"/>
  </cols>
  <sheetData>
    <row r="3" spans="2:12" ht="15" thickBot="1" x14ac:dyDescent="0.35"/>
    <row r="4" spans="2:12" ht="16.2" thickBot="1" x14ac:dyDescent="0.35">
      <c r="B4" s="7" t="s">
        <v>0</v>
      </c>
      <c r="C4" s="8"/>
      <c r="D4" s="9" t="s">
        <v>1</v>
      </c>
      <c r="E4" s="10"/>
      <c r="H4" s="1" t="s">
        <v>2</v>
      </c>
      <c r="I4" s="1"/>
      <c r="J4" s="1"/>
      <c r="K4" s="1"/>
      <c r="L4" s="1"/>
    </row>
    <row r="5" spans="2:12" ht="15.6" x14ac:dyDescent="0.3">
      <c r="B5" s="11" t="s">
        <v>6</v>
      </c>
      <c r="C5" s="6">
        <v>2700000</v>
      </c>
      <c r="D5" s="12" t="s">
        <v>8</v>
      </c>
      <c r="E5" s="6">
        <f>C6+C5*9%</f>
        <v>688500</v>
      </c>
      <c r="H5" s="2" t="s">
        <v>3</v>
      </c>
      <c r="I5" s="3" t="s">
        <v>4</v>
      </c>
      <c r="J5" s="2" t="s">
        <v>5</v>
      </c>
      <c r="K5" s="4" t="s">
        <v>0</v>
      </c>
      <c r="L5" s="4" t="s">
        <v>1</v>
      </c>
    </row>
    <row r="6" spans="2:12" ht="15.6" x14ac:dyDescent="0.3">
      <c r="B6" s="13" t="s">
        <v>7</v>
      </c>
      <c r="C6" s="14">
        <f>C5*16.5%</f>
        <v>445500</v>
      </c>
      <c r="D6" s="13" t="s">
        <v>9</v>
      </c>
      <c r="E6" s="14">
        <f>C5*91%</f>
        <v>2457000</v>
      </c>
      <c r="H6" s="16">
        <v>1</v>
      </c>
      <c r="I6" s="17">
        <v>46323</v>
      </c>
      <c r="J6" s="16" t="s">
        <v>6</v>
      </c>
      <c r="K6" s="18">
        <f>C5</f>
        <v>2700000</v>
      </c>
      <c r="L6" s="16"/>
    </row>
    <row r="7" spans="2:12" ht="15.6" x14ac:dyDescent="0.3">
      <c r="B7" s="13"/>
      <c r="C7" s="15">
        <f>SUM(C5:C6)</f>
        <v>3145500</v>
      </c>
      <c r="D7" s="13"/>
      <c r="E7" s="15">
        <f>SUM(E5:E6)</f>
        <v>3145500</v>
      </c>
      <c r="H7" s="16"/>
      <c r="I7" s="16"/>
      <c r="J7" s="16" t="s">
        <v>7</v>
      </c>
      <c r="K7" s="18">
        <f>C6</f>
        <v>445500</v>
      </c>
      <c r="L7" s="16"/>
    </row>
    <row r="8" spans="2:12" ht="15" thickBot="1" x14ac:dyDescent="0.35">
      <c r="H8" s="16"/>
      <c r="I8" s="16"/>
      <c r="J8" s="16" t="s">
        <v>8</v>
      </c>
      <c r="K8" s="16"/>
      <c r="L8" s="18">
        <f>E5</f>
        <v>688500</v>
      </c>
    </row>
    <row r="9" spans="2:12" ht="16.2" thickBot="1" x14ac:dyDescent="0.35">
      <c r="B9" s="7" t="s">
        <v>0</v>
      </c>
      <c r="C9" s="8"/>
      <c r="D9" s="9" t="s">
        <v>1</v>
      </c>
      <c r="E9" s="10"/>
      <c r="H9" s="16"/>
      <c r="I9" s="16"/>
      <c r="J9" s="16" t="str">
        <f>D6</f>
        <v>BANCO W SA CTA CTE</v>
      </c>
      <c r="K9" s="16"/>
      <c r="L9" s="18">
        <f>E6</f>
        <v>2457000</v>
      </c>
    </row>
    <row r="10" spans="2:12" ht="15.6" x14ac:dyDescent="0.3">
      <c r="B10" s="11" t="s">
        <v>6</v>
      </c>
      <c r="C10" s="6">
        <v>3100000</v>
      </c>
      <c r="D10" s="12" t="s">
        <v>8</v>
      </c>
      <c r="E10" s="6">
        <f>C11+(C10*9%)</f>
        <v>790500</v>
      </c>
      <c r="H10" s="16"/>
      <c r="I10" s="16"/>
      <c r="J10" s="19" t="s">
        <v>10</v>
      </c>
      <c r="K10" s="16"/>
      <c r="L10" s="16"/>
    </row>
    <row r="11" spans="2:12" ht="15.6" x14ac:dyDescent="0.3">
      <c r="B11" s="13" t="s">
        <v>7</v>
      </c>
      <c r="C11" s="14">
        <f>C10*16.5%</f>
        <v>511500</v>
      </c>
      <c r="D11" s="13" t="s">
        <v>9</v>
      </c>
      <c r="E11" s="14">
        <f>C10*91%</f>
        <v>2821000</v>
      </c>
      <c r="H11" s="16"/>
      <c r="I11" s="16"/>
      <c r="J11" s="19" t="s">
        <v>11</v>
      </c>
      <c r="K11" s="16"/>
      <c r="L11" s="16"/>
    </row>
    <row r="12" spans="2:12" ht="15.6" x14ac:dyDescent="0.3">
      <c r="B12" s="13"/>
      <c r="C12" s="15">
        <f>SUM(C10:C11)</f>
        <v>3611500</v>
      </c>
      <c r="D12" s="13"/>
      <c r="E12" s="15">
        <f>SUM(E10:E11)</f>
        <v>3611500</v>
      </c>
      <c r="H12" s="20"/>
      <c r="I12" s="20"/>
      <c r="J12" s="20"/>
      <c r="K12" s="20"/>
      <c r="L12" s="20"/>
    </row>
    <row r="13" spans="2:12" ht="15" thickBot="1" x14ac:dyDescent="0.35">
      <c r="H13" s="16">
        <v>2</v>
      </c>
      <c r="I13" s="17">
        <f>I6</f>
        <v>46323</v>
      </c>
      <c r="J13" s="16" t="s">
        <v>6</v>
      </c>
      <c r="K13" s="18">
        <f>C10</f>
        <v>3100000</v>
      </c>
      <c r="L13" s="16"/>
    </row>
    <row r="14" spans="2:12" ht="16.2" thickBot="1" x14ac:dyDescent="0.35">
      <c r="B14" s="7" t="s">
        <v>0</v>
      </c>
      <c r="C14" s="8"/>
      <c r="D14" s="9" t="s">
        <v>1</v>
      </c>
      <c r="E14" s="10"/>
      <c r="H14" s="16"/>
      <c r="I14" s="16"/>
      <c r="J14" s="16" t="s">
        <v>7</v>
      </c>
      <c r="K14" s="18">
        <f>C11</f>
        <v>511500</v>
      </c>
      <c r="L14" s="16"/>
    </row>
    <row r="15" spans="2:12" ht="15.6" x14ac:dyDescent="0.3">
      <c r="B15" s="11" t="s">
        <v>6</v>
      </c>
      <c r="C15" s="6">
        <v>2850000</v>
      </c>
      <c r="D15" s="12" t="s">
        <v>8</v>
      </c>
      <c r="E15" s="6">
        <f>C16+(C15*9%)</f>
        <v>726750</v>
      </c>
      <c r="H15" s="16"/>
      <c r="I15" s="16"/>
      <c r="J15" s="16" t="s">
        <v>8</v>
      </c>
      <c r="K15" s="18"/>
      <c r="L15" s="18">
        <f>E10</f>
        <v>790500</v>
      </c>
    </row>
    <row r="16" spans="2:12" ht="15.6" x14ac:dyDescent="0.3">
      <c r="B16" s="13" t="s">
        <v>7</v>
      </c>
      <c r="C16" s="14">
        <f>C15*16.5%</f>
        <v>470250</v>
      </c>
      <c r="D16" s="13" t="s">
        <v>9</v>
      </c>
      <c r="E16" s="14">
        <f>C15*91%</f>
        <v>2593500</v>
      </c>
      <c r="H16" s="16"/>
      <c r="I16" s="16"/>
      <c r="J16" s="16" t="str">
        <f>J9</f>
        <v>BANCO W SA CTA CTE</v>
      </c>
      <c r="K16" s="16"/>
      <c r="L16" s="18">
        <f>E11</f>
        <v>2821000</v>
      </c>
    </row>
    <row r="17" spans="2:12" ht="15.6" x14ac:dyDescent="0.3">
      <c r="B17" s="13"/>
      <c r="C17" s="15">
        <f>SUM(C15:C16)</f>
        <v>3320250</v>
      </c>
      <c r="D17" s="13"/>
      <c r="E17" s="15">
        <f>SUM(E15:E16)</f>
        <v>3320250</v>
      </c>
      <c r="H17" s="16"/>
      <c r="I17" s="16"/>
      <c r="J17" s="19" t="s">
        <v>10</v>
      </c>
      <c r="K17" s="16"/>
      <c r="L17" s="16"/>
    </row>
    <row r="18" spans="2:12" ht="15" thickBot="1" x14ac:dyDescent="0.35">
      <c r="H18" s="16"/>
      <c r="I18" s="16"/>
      <c r="J18" s="19" t="s">
        <v>12</v>
      </c>
      <c r="K18" s="16"/>
      <c r="L18" s="16"/>
    </row>
    <row r="19" spans="2:12" ht="16.2" thickBot="1" x14ac:dyDescent="0.35">
      <c r="B19" s="7" t="s">
        <v>0</v>
      </c>
      <c r="C19" s="8"/>
      <c r="D19" s="9" t="s">
        <v>1</v>
      </c>
      <c r="E19" s="10"/>
      <c r="H19" s="20"/>
      <c r="I19" s="20"/>
      <c r="J19" s="20"/>
      <c r="K19" s="20"/>
      <c r="L19" s="20"/>
    </row>
    <row r="20" spans="2:12" ht="15.6" x14ac:dyDescent="0.3">
      <c r="B20" s="11" t="s">
        <v>6</v>
      </c>
      <c r="C20" s="6">
        <v>2900000</v>
      </c>
      <c r="D20" s="12" t="s">
        <v>8</v>
      </c>
      <c r="E20" s="6">
        <f>C21+(C20*9%)</f>
        <v>739500</v>
      </c>
      <c r="H20" s="16">
        <v>3</v>
      </c>
      <c r="I20" s="17">
        <f>I13</f>
        <v>46323</v>
      </c>
      <c r="J20" s="16" t="s">
        <v>6</v>
      </c>
      <c r="K20" s="18">
        <f>C15</f>
        <v>2850000</v>
      </c>
      <c r="L20" s="16"/>
    </row>
    <row r="21" spans="2:12" ht="15.6" x14ac:dyDescent="0.3">
      <c r="B21" s="13" t="s">
        <v>7</v>
      </c>
      <c r="C21" s="14">
        <f>C20*16.5%</f>
        <v>478500</v>
      </c>
      <c r="D21" s="13" t="s">
        <v>9</v>
      </c>
      <c r="E21" s="14">
        <f>C20*91%</f>
        <v>2639000</v>
      </c>
      <c r="H21" s="16"/>
      <c r="I21" s="16"/>
      <c r="J21" s="16" t="s">
        <v>7</v>
      </c>
      <c r="K21" s="18">
        <f>C16</f>
        <v>470250</v>
      </c>
      <c r="L21" s="16"/>
    </row>
    <row r="22" spans="2:12" ht="15.6" x14ac:dyDescent="0.3">
      <c r="B22" s="13"/>
      <c r="C22" s="15">
        <f>SUM(C20:C21)</f>
        <v>3378500</v>
      </c>
      <c r="D22" s="13"/>
      <c r="E22" s="15">
        <f>SUM(E20:E21)</f>
        <v>3378500</v>
      </c>
      <c r="H22" s="16"/>
      <c r="I22" s="16"/>
      <c r="J22" s="16" t="s">
        <v>8</v>
      </c>
      <c r="K22" s="16"/>
      <c r="L22" s="18">
        <f>E15</f>
        <v>726750</v>
      </c>
    </row>
    <row r="23" spans="2:12" x14ac:dyDescent="0.3">
      <c r="H23" s="16"/>
      <c r="I23" s="16"/>
      <c r="J23" s="16" t="str">
        <f>J9</f>
        <v>BANCO W SA CTA CTE</v>
      </c>
      <c r="K23" s="16"/>
      <c r="L23" s="18">
        <f>E16</f>
        <v>2593500</v>
      </c>
    </row>
    <row r="24" spans="2:12" x14ac:dyDescent="0.3">
      <c r="H24" s="16"/>
      <c r="I24" s="16"/>
      <c r="J24" s="19" t="s">
        <v>10</v>
      </c>
      <c r="K24" s="16"/>
      <c r="L24" s="16"/>
    </row>
    <row r="25" spans="2:12" x14ac:dyDescent="0.3">
      <c r="H25" s="16"/>
      <c r="I25" s="16"/>
      <c r="J25" s="19" t="s">
        <v>13</v>
      </c>
      <c r="K25" s="16"/>
      <c r="L25" s="16"/>
    </row>
    <row r="26" spans="2:12" x14ac:dyDescent="0.3">
      <c r="H26" s="20"/>
      <c r="I26" s="20"/>
      <c r="J26" s="20"/>
      <c r="K26" s="20"/>
      <c r="L26" s="20"/>
    </row>
    <row r="27" spans="2:12" x14ac:dyDescent="0.3">
      <c r="H27" s="16">
        <v>4</v>
      </c>
      <c r="I27" s="17">
        <f>I20</f>
        <v>46323</v>
      </c>
      <c r="J27" s="16" t="s">
        <v>6</v>
      </c>
      <c r="K27" s="18">
        <f>C20</f>
        <v>2900000</v>
      </c>
      <c r="L27" s="16"/>
    </row>
    <row r="28" spans="2:12" x14ac:dyDescent="0.3">
      <c r="H28" s="16"/>
      <c r="I28" s="16"/>
      <c r="J28" s="16" t="s">
        <v>7</v>
      </c>
      <c r="K28" s="18">
        <f>C21</f>
        <v>478500</v>
      </c>
      <c r="L28" s="16"/>
    </row>
    <row r="29" spans="2:12" x14ac:dyDescent="0.3">
      <c r="H29" s="16"/>
      <c r="I29" s="16"/>
      <c r="J29" s="16" t="s">
        <v>8</v>
      </c>
      <c r="K29" s="16"/>
      <c r="L29" s="18">
        <f>E20</f>
        <v>739500</v>
      </c>
    </row>
    <row r="30" spans="2:12" x14ac:dyDescent="0.3">
      <c r="H30" s="16"/>
      <c r="I30" s="16"/>
      <c r="J30" s="16" t="str">
        <f>J23</f>
        <v>BANCO W SA CTA CTE</v>
      </c>
      <c r="K30" s="16"/>
      <c r="L30" s="18">
        <f>E21</f>
        <v>2639000</v>
      </c>
    </row>
    <row r="31" spans="2:12" x14ac:dyDescent="0.3">
      <c r="H31" s="16"/>
      <c r="I31" s="16"/>
      <c r="J31" s="19" t="s">
        <v>10</v>
      </c>
      <c r="K31" s="16"/>
      <c r="L31" s="16"/>
    </row>
    <row r="32" spans="2:12" x14ac:dyDescent="0.3">
      <c r="H32" s="16"/>
      <c r="I32" s="16"/>
      <c r="J32" s="19" t="s">
        <v>14</v>
      </c>
      <c r="K32" s="16"/>
      <c r="L32" s="16"/>
    </row>
    <row r="33" spans="8:12" x14ac:dyDescent="0.3">
      <c r="H33" s="20"/>
      <c r="I33" s="20"/>
      <c r="J33" s="20"/>
      <c r="K33" s="20"/>
      <c r="L33" s="20"/>
    </row>
  </sheetData>
  <mergeCells count="9">
    <mergeCell ref="B19:C19"/>
    <mergeCell ref="D19:E19"/>
    <mergeCell ref="B4:C4"/>
    <mergeCell ref="D4:E4"/>
    <mergeCell ref="H4:L4"/>
    <mergeCell ref="B9:C9"/>
    <mergeCell ref="D9:E9"/>
    <mergeCell ref="B14:C14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2026-06-03T04:19:09Z</dcterms:created>
  <dcterms:modified xsi:type="dcterms:W3CDTF">2026-06-03T04:40:40Z</dcterms:modified>
</cp:coreProperties>
</file>