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8_{E9A62409-8B38-4752-956F-F80E742BA662}" xr6:coauthVersionLast="47" xr6:coauthVersionMax="47" xr10:uidLastSave="{00000000-0000-0000-0000-000000000000}"/>
  <bookViews>
    <workbookView xWindow="2688" yWindow="2688" windowWidth="17280" windowHeight="8964" xr2:uid="{89875CC7-1EA5-4A82-A9B4-989AF863F058}"/>
  </bookViews>
  <sheets>
    <sheet name="Tarea 2.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2" i="1" l="1"/>
  <c r="H21" i="1"/>
  <c r="C21" i="1"/>
  <c r="H20" i="1" s="1"/>
  <c r="C20" i="1"/>
  <c r="C10" i="1"/>
  <c r="C7" i="1"/>
  <c r="H7" i="1" s="1"/>
  <c r="H6" i="1"/>
  <c r="C6" i="1"/>
  <c r="H9" i="1" s="1"/>
  <c r="C24" i="1" l="1"/>
  <c r="E23" i="1" s="1"/>
  <c r="E24" i="1" s="1"/>
  <c r="E7" i="1"/>
  <c r="H8" i="1" s="1"/>
  <c r="E6" i="1"/>
  <c r="E8" i="1" s="1"/>
  <c r="E9" i="1" l="1"/>
  <c r="E10" i="1" s="1"/>
</calcChain>
</file>

<file path=xl/sharedStrings.xml><?xml version="1.0" encoding="utf-8"?>
<sst xmlns="http://schemas.openxmlformats.org/spreadsheetml/2006/main" count="29" uniqueCount="22">
  <si>
    <t>EJERCICIO 1: Nuestro operario de máquina cobra un salario mensual de Gs. 3.500.000 y está inscripto en IPS.</t>
  </si>
  <si>
    <t>Realiza el cálculo de: a) Aporte Obrero b) Aporte Patronal c) Salario Neto del operario d) Deuda con IPS</t>
  </si>
  <si>
    <t>DEBE</t>
  </si>
  <si>
    <t>HABER</t>
  </si>
  <si>
    <t>SUELDOS Y JORNALES</t>
  </si>
  <si>
    <t>IPS A PAGAR</t>
  </si>
  <si>
    <t>a) Aporte obrero</t>
  </si>
  <si>
    <t>APORTE PATRONAL</t>
  </si>
  <si>
    <t>BANCO XX CTA.CTE</t>
  </si>
  <si>
    <t>b)Aporte patronal</t>
  </si>
  <si>
    <t xml:space="preserve"> TOTAL PASIVO</t>
  </si>
  <si>
    <t>c)Salario Neto del Operario</t>
  </si>
  <si>
    <t>CAPITAL</t>
  </si>
  <si>
    <t>d)Deuda IPS</t>
  </si>
  <si>
    <t>TOTAL ACTIVO</t>
  </si>
  <si>
    <t>PASIVO  + P.NETO</t>
  </si>
  <si>
    <t>EJERCICIO 2: Contratamos de manera ocasional los servicios de un operario de máquina para la industria cuyo salario en contrato es de Gs. 3.500.000.</t>
  </si>
  <si>
    <t>Realiza el cálculo de: a) IVA de la factura b) Gravada de la operación.</t>
  </si>
  <si>
    <t>HONORARIOS PROFESIONALES</t>
  </si>
  <si>
    <t>a)IVA de la factura</t>
  </si>
  <si>
    <t>IVA CF 10%</t>
  </si>
  <si>
    <t>b)Gravada de la 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</si>
</sst>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₲&quot;\ * #,##0_ ;_ &quot;₲&quot;\ * \-#,##0_ ;_ &quot;₲&quot;\ * &quot;-&quot;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42" fontId="0" fillId="0" borderId="4" xfId="1" applyFont="1" applyBorder="1"/>
    <xf numFmtId="42" fontId="0" fillId="0" borderId="5" xfId="1" applyFont="1" applyBorder="1"/>
    <xf numFmtId="0" fontId="4" fillId="0" borderId="0" xfId="0" applyFont="1"/>
    <xf numFmtId="42" fontId="0" fillId="0" borderId="0" xfId="0" applyNumberFormat="1"/>
    <xf numFmtId="42" fontId="0" fillId="0" borderId="6" xfId="1" applyFont="1" applyBorder="1"/>
    <xf numFmtId="0" fontId="2" fillId="0" borderId="0" xfId="0" applyFont="1"/>
    <xf numFmtId="42" fontId="2" fillId="0" borderId="0" xfId="1" applyFont="1" applyBorder="1"/>
    <xf numFmtId="42" fontId="2" fillId="0" borderId="0" xfId="0" applyNumberFormat="1" applyFont="1"/>
    <xf numFmtId="42" fontId="2" fillId="0" borderId="6" xfId="0" applyNumberFormat="1" applyFont="1" applyBorder="1"/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C7C0-60C7-43F3-B0CD-7F6A58D4DBC6}">
  <dimension ref="A2:H24"/>
  <sheetViews>
    <sheetView tabSelected="1" workbookViewId="0">
      <selection activeCell="B14" sqref="B14"/>
    </sheetView>
  </sheetViews>
  <sheetFormatPr defaultRowHeight="14.4" x14ac:dyDescent="0.3"/>
  <cols>
    <col min="2" max="2" width="26.5546875" bestFit="1" customWidth="1"/>
    <col min="3" max="3" width="11.6640625" bestFit="1" customWidth="1"/>
    <col min="4" max="4" width="16.88671875" bestFit="1" customWidth="1"/>
    <col min="5" max="5" width="11.6640625" bestFit="1" customWidth="1"/>
    <col min="7" max="7" width="23.6640625" bestFit="1" customWidth="1"/>
    <col min="8" max="8" width="11.6640625" bestFit="1" customWidth="1"/>
  </cols>
  <sheetData>
    <row r="2" spans="1:8" ht="15" x14ac:dyDescent="0.35">
      <c r="A2" s="1" t="s">
        <v>0</v>
      </c>
    </row>
    <row r="3" spans="1:8" ht="15" x14ac:dyDescent="0.35">
      <c r="A3" s="1" t="s">
        <v>1</v>
      </c>
    </row>
    <row r="5" spans="1:8" x14ac:dyDescent="0.3">
      <c r="B5" s="2" t="s">
        <v>2</v>
      </c>
      <c r="C5" s="3"/>
      <c r="D5" s="2" t="s">
        <v>3</v>
      </c>
      <c r="E5" s="4"/>
    </row>
    <row r="6" spans="1:8" x14ac:dyDescent="0.3">
      <c r="B6" t="s">
        <v>4</v>
      </c>
      <c r="C6" s="5">
        <f>3500000</f>
        <v>3500000</v>
      </c>
      <c r="D6" t="s">
        <v>5</v>
      </c>
      <c r="E6" s="6">
        <f>C7+C6*9/100</f>
        <v>892500</v>
      </c>
      <c r="G6" s="7" t="s">
        <v>6</v>
      </c>
      <c r="H6" s="8">
        <f>C6*9/100</f>
        <v>315000</v>
      </c>
    </row>
    <row r="7" spans="1:8" x14ac:dyDescent="0.3">
      <c r="B7" t="s">
        <v>7</v>
      </c>
      <c r="C7" s="9">
        <f>C6*16.5/100</f>
        <v>577500</v>
      </c>
      <c r="D7" t="s">
        <v>8</v>
      </c>
      <c r="E7" s="6">
        <f>C6*91/100</f>
        <v>3185000</v>
      </c>
      <c r="G7" s="7" t="s">
        <v>9</v>
      </c>
      <c r="H7" s="8">
        <f>C7</f>
        <v>577500</v>
      </c>
    </row>
    <row r="8" spans="1:8" x14ac:dyDescent="0.3">
      <c r="C8" s="9"/>
      <c r="D8" s="10" t="s">
        <v>10</v>
      </c>
      <c r="E8" s="11">
        <f>SUM(E6:E7)</f>
        <v>4077500</v>
      </c>
      <c r="G8" s="7" t="s">
        <v>11</v>
      </c>
      <c r="H8" s="8">
        <f>E7</f>
        <v>3185000</v>
      </c>
    </row>
    <row r="9" spans="1:8" x14ac:dyDescent="0.3">
      <c r="C9" s="9"/>
      <c r="D9" s="10" t="s">
        <v>12</v>
      </c>
      <c r="E9" s="12">
        <f>C10-E8</f>
        <v>0</v>
      </c>
      <c r="G9" s="7" t="s">
        <v>13</v>
      </c>
      <c r="H9" s="8">
        <f>C6*16.5/100</f>
        <v>577500</v>
      </c>
    </row>
    <row r="10" spans="1:8" x14ac:dyDescent="0.3">
      <c r="B10" s="10" t="s">
        <v>14</v>
      </c>
      <c r="C10" s="13">
        <f>SUM(C6:C7)</f>
        <v>4077500</v>
      </c>
      <c r="D10" s="10" t="s">
        <v>15</v>
      </c>
      <c r="E10" s="12">
        <f>SUM(E8:E9)</f>
        <v>4077500</v>
      </c>
    </row>
    <row r="16" spans="1:8" ht="15" x14ac:dyDescent="0.35">
      <c r="A16" s="1" t="s">
        <v>16</v>
      </c>
    </row>
    <row r="17" spans="1:8" x14ac:dyDescent="0.3">
      <c r="A17" t="s">
        <v>17</v>
      </c>
    </row>
    <row r="19" spans="1:8" x14ac:dyDescent="0.3">
      <c r="B19" s="2" t="s">
        <v>2</v>
      </c>
      <c r="C19" s="3"/>
      <c r="D19" s="2" t="s">
        <v>3</v>
      </c>
      <c r="E19" s="4"/>
    </row>
    <row r="20" spans="1:8" x14ac:dyDescent="0.3">
      <c r="B20" t="s">
        <v>18</v>
      </c>
      <c r="C20" s="5">
        <f>3500000/1.1</f>
        <v>3181818.1818181816</v>
      </c>
      <c r="E20" s="6"/>
      <c r="G20" s="7" t="s">
        <v>19</v>
      </c>
      <c r="H20" s="8">
        <f>C21</f>
        <v>318181.81818181818</v>
      </c>
    </row>
    <row r="21" spans="1:8" x14ac:dyDescent="0.3">
      <c r="B21" t="s">
        <v>20</v>
      </c>
      <c r="C21" s="9">
        <f>3500000/11</f>
        <v>318181.81818181818</v>
      </c>
      <c r="D21" t="s">
        <v>8</v>
      </c>
      <c r="E21" s="6">
        <v>3500000</v>
      </c>
      <c r="G21" s="7" t="s">
        <v>21</v>
      </c>
      <c r="H21" s="8">
        <f>C20</f>
        <v>3181818.1818181816</v>
      </c>
    </row>
    <row r="22" spans="1:8" x14ac:dyDescent="0.3">
      <c r="C22" s="9"/>
      <c r="D22" s="10" t="s">
        <v>10</v>
      </c>
      <c r="E22" s="11">
        <f>SUM(E20:E21)</f>
        <v>3500000</v>
      </c>
    </row>
    <row r="23" spans="1:8" x14ac:dyDescent="0.3">
      <c r="C23" s="9"/>
      <c r="D23" s="10" t="s">
        <v>12</v>
      </c>
      <c r="E23" s="12">
        <f>C24-E22</f>
        <v>0</v>
      </c>
    </row>
    <row r="24" spans="1:8" x14ac:dyDescent="0.3">
      <c r="B24" s="10" t="s">
        <v>14</v>
      </c>
      <c r="C24" s="13">
        <f>SUM(C20:C21)</f>
        <v>3500000</v>
      </c>
      <c r="D24" s="10" t="s">
        <v>15</v>
      </c>
      <c r="E24" s="12">
        <f>SUM(E22:E23)</f>
        <v>3500000</v>
      </c>
    </row>
  </sheetData>
  <mergeCells count="4">
    <mergeCell ref="B5:C5"/>
    <mergeCell ref="D5:E5"/>
    <mergeCell ref="B19:C19"/>
    <mergeCell ref="D19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Tarea 2.4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Lesme</dc:creator>
  <cp:lastModifiedBy>Gustavo Lesme</cp:lastModifiedBy>
  <dcterms:created xsi:type="dcterms:W3CDTF">2026-04-15T14:50:11Z</dcterms:created>
  <dcterms:modified xsi:type="dcterms:W3CDTF">2026-04-15T14:52:35Z</dcterms:modified>
</cp:coreProperties>
</file>