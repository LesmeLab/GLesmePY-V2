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Nueva carpeta\"/>
    </mc:Choice>
  </mc:AlternateContent>
  <xr:revisionPtr revIDLastSave="0" documentId="8_{9E69857A-B423-4511-8A83-66DA4E03A5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uri="GoogleSheetsCustomDataVersion2">
      <go:sheetsCustomData xmlns:go="http://customooxmlschemas.google.com/" r:id="rId7" roundtripDataChecksum="1pe7Fu9qdxwYnEu6NKtIOvlPVVsPwurIQalcERsLXc0="/>
    </ext>
  </extLst>
</workbook>
</file>

<file path=xl/calcChain.xml><?xml version="1.0" encoding="utf-8"?>
<calcChain xmlns="http://schemas.openxmlformats.org/spreadsheetml/2006/main">
  <c r="F38" i="3" l="1"/>
  <c r="F37" i="3"/>
  <c r="F36" i="3"/>
  <c r="F35" i="3"/>
  <c r="D28" i="3"/>
  <c r="E28" i="3"/>
  <c r="F28" i="3"/>
  <c r="G28" i="3"/>
  <c r="H28" i="3"/>
  <c r="I28" i="3"/>
  <c r="J33" i="3" s="1"/>
  <c r="J28" i="3"/>
  <c r="J32" i="3" s="1"/>
  <c r="C28" i="3"/>
  <c r="G16" i="3"/>
  <c r="H15" i="3"/>
  <c r="H9" i="3"/>
  <c r="G7" i="3"/>
  <c r="F27" i="3"/>
  <c r="H27" i="3" s="1"/>
  <c r="F26" i="3"/>
  <c r="H26" i="3" s="1"/>
  <c r="E25" i="3"/>
  <c r="I25" i="3" s="1"/>
  <c r="E24" i="3"/>
  <c r="I24" i="3" s="1"/>
  <c r="E16" i="3"/>
  <c r="F15" i="3"/>
  <c r="E14" i="3"/>
  <c r="G14" i="3" s="1"/>
  <c r="E13" i="3"/>
  <c r="G13" i="3" s="1"/>
  <c r="E12" i="3"/>
  <c r="G12" i="3" s="1"/>
  <c r="F11" i="3"/>
  <c r="H11" i="3" s="1"/>
  <c r="F10" i="3"/>
  <c r="H10" i="3" s="1"/>
  <c r="F9" i="3"/>
  <c r="E8" i="3"/>
  <c r="G8" i="3" s="1"/>
  <c r="E7" i="3"/>
  <c r="D27" i="3"/>
  <c r="D26" i="3"/>
  <c r="C25" i="3"/>
  <c r="C24" i="3"/>
  <c r="C23" i="3"/>
  <c r="E23" i="3" s="1"/>
  <c r="I23" i="3" s="1"/>
  <c r="C22" i="3"/>
  <c r="E22" i="3" s="1"/>
  <c r="I22" i="3" s="1"/>
  <c r="C21" i="3"/>
  <c r="E21" i="3" s="1"/>
  <c r="I21" i="3" s="1"/>
  <c r="C20" i="3"/>
  <c r="E20" i="3" s="1"/>
  <c r="I20" i="3" s="1"/>
  <c r="C19" i="3"/>
  <c r="E19" i="3" s="1"/>
  <c r="D18" i="3"/>
  <c r="F18" i="3" s="1"/>
  <c r="H18" i="3" s="1"/>
  <c r="D17" i="3"/>
  <c r="F17" i="3" s="1"/>
  <c r="J17" i="3" s="1"/>
  <c r="D16" i="3"/>
  <c r="C16" i="3"/>
  <c r="D15" i="3"/>
  <c r="C14" i="3"/>
  <c r="C13" i="3"/>
  <c r="C12" i="3"/>
  <c r="D11" i="3"/>
  <c r="D10" i="3"/>
  <c r="D9" i="3"/>
  <c r="B25" i="3"/>
  <c r="B24" i="3"/>
  <c r="B23" i="3"/>
  <c r="B22" i="3"/>
  <c r="B21" i="3"/>
  <c r="B20" i="3"/>
  <c r="B19" i="3"/>
  <c r="B18" i="3"/>
  <c r="B17" i="3"/>
  <c r="B16" i="3"/>
  <c r="B15" i="3"/>
  <c r="B14" i="3"/>
  <c r="C8" i="3"/>
  <c r="C7" i="3"/>
  <c r="D6" i="3"/>
  <c r="C6" i="3"/>
  <c r="E6" i="3" s="1"/>
  <c r="G6" i="3" s="1"/>
  <c r="D156" i="2"/>
  <c r="D170" i="2"/>
  <c r="D163" i="2"/>
  <c r="D177" i="2"/>
  <c r="E184" i="2"/>
  <c r="E191" i="2"/>
  <c r="D148" i="2"/>
  <c r="D140" i="2"/>
  <c r="D132" i="2"/>
  <c r="E125" i="2"/>
  <c r="E118" i="2"/>
  <c r="E110" i="2"/>
  <c r="D110" i="2"/>
  <c r="E100" i="2"/>
  <c r="D92" i="2"/>
  <c r="D83" i="2"/>
  <c r="D71" i="2"/>
  <c r="E63" i="2"/>
  <c r="E55" i="2"/>
  <c r="E47" i="2"/>
  <c r="D39" i="2"/>
  <c r="D31" i="2"/>
  <c r="E24" i="2"/>
  <c r="D24" i="2"/>
  <c r="C8" i="2"/>
  <c r="C5" i="3"/>
  <c r="E5" i="3" s="1"/>
  <c r="G5" i="3" s="1"/>
  <c r="F167" i="2"/>
  <c r="F174" i="2"/>
  <c r="F181" i="2"/>
  <c r="F188" i="2"/>
  <c r="E188" i="2"/>
  <c r="E181" i="2"/>
  <c r="D174" i="2"/>
  <c r="D167" i="2"/>
  <c r="C181" i="2"/>
  <c r="C188" i="2" s="1"/>
  <c r="C174" i="2"/>
  <c r="C167" i="2"/>
  <c r="B160" i="2"/>
  <c r="F160" i="2"/>
  <c r="D160" i="2"/>
  <c r="C160" i="2"/>
  <c r="F153" i="2"/>
  <c r="D153" i="2"/>
  <c r="C153" i="2"/>
  <c r="F145" i="2"/>
  <c r="D145" i="2"/>
  <c r="C145" i="2"/>
  <c r="F137" i="2"/>
  <c r="D137" i="2"/>
  <c r="C137" i="2"/>
  <c r="B130" i="2"/>
  <c r="B129" i="2"/>
  <c r="F129" i="2"/>
  <c r="F130" i="2" s="1"/>
  <c r="D130" i="2"/>
  <c r="C130" i="2"/>
  <c r="D129" i="2"/>
  <c r="C129" i="2"/>
  <c r="F123" i="2"/>
  <c r="F122" i="2"/>
  <c r="E123" i="2"/>
  <c r="C123" i="2"/>
  <c r="E122" i="2"/>
  <c r="C122" i="2"/>
  <c r="E116" i="2"/>
  <c r="C116" i="2"/>
  <c r="F115" i="2"/>
  <c r="F116" i="2" s="1"/>
  <c r="E115" i="2"/>
  <c r="C115" i="2"/>
  <c r="F109" i="2"/>
  <c r="F108" i="2"/>
  <c r="F107" i="2"/>
  <c r="C109" i="2"/>
  <c r="E109" i="2"/>
  <c r="D108" i="2"/>
  <c r="E107" i="2"/>
  <c r="C107" i="2"/>
  <c r="F106" i="2"/>
  <c r="D106" i="2"/>
  <c r="C106" i="2"/>
  <c r="F97" i="2"/>
  <c r="E97" i="2"/>
  <c r="C97" i="2"/>
  <c r="F82" i="2"/>
  <c r="F81" i="2"/>
  <c r="F80" i="2"/>
  <c r="F89" i="2"/>
  <c r="D89" i="2"/>
  <c r="C89" i="2"/>
  <c r="C82" i="2"/>
  <c r="D82" i="2"/>
  <c r="D81" i="2"/>
  <c r="C81" i="2"/>
  <c r="D80" i="2"/>
  <c r="C80" i="2"/>
  <c r="F79" i="2"/>
  <c r="F78" i="2"/>
  <c r="D79" i="2"/>
  <c r="C79" i="2"/>
  <c r="D78" i="2"/>
  <c r="C78" i="2"/>
  <c r="F77" i="2"/>
  <c r="F76" i="2"/>
  <c r="D77" i="2"/>
  <c r="C77" i="2"/>
  <c r="D76" i="2"/>
  <c r="C76" i="2"/>
  <c r="B76" i="2"/>
  <c r="F68" i="2"/>
  <c r="D68" i="2"/>
  <c r="C68" i="2"/>
  <c r="F60" i="2"/>
  <c r="E60" i="2"/>
  <c r="C60" i="2"/>
  <c r="B60" i="2"/>
  <c r="F52" i="2"/>
  <c r="E52" i="2"/>
  <c r="C52" i="2"/>
  <c r="B52" i="2"/>
  <c r="F44" i="2"/>
  <c r="E44" i="2"/>
  <c r="C44" i="2"/>
  <c r="B44" i="2"/>
  <c r="F37" i="2"/>
  <c r="F36" i="2"/>
  <c r="C37" i="2"/>
  <c r="D37" i="2"/>
  <c r="D36" i="2"/>
  <c r="B36" i="2"/>
  <c r="C36" i="2"/>
  <c r="F28" i="2"/>
  <c r="B28" i="2"/>
  <c r="D28" i="2"/>
  <c r="C28" i="2"/>
  <c r="F23" i="2"/>
  <c r="E23" i="2"/>
  <c r="C23" i="2"/>
  <c r="K79" i="1"/>
  <c r="K76" i="1"/>
  <c r="K75" i="1"/>
  <c r="J79" i="1"/>
  <c r="J74" i="1"/>
  <c r="J73" i="1"/>
  <c r="K70" i="1"/>
  <c r="J69" i="1"/>
  <c r="J68" i="1"/>
  <c r="I76" i="1"/>
  <c r="I75" i="1"/>
  <c r="I74" i="1"/>
  <c r="I73" i="1"/>
  <c r="I70" i="1"/>
  <c r="I69" i="1"/>
  <c r="I68" i="1"/>
  <c r="E109" i="1"/>
  <c r="E108" i="1"/>
  <c r="C104" i="1"/>
  <c r="C103" i="1"/>
  <c r="C109" i="1"/>
  <c r="C108" i="1"/>
  <c r="F22" i="2"/>
  <c r="F21" i="2"/>
  <c r="F20" i="2"/>
  <c r="C22" i="2"/>
  <c r="C21" i="2"/>
  <c r="H65" i="1"/>
  <c r="H64" i="1"/>
  <c r="H60" i="1"/>
  <c r="H59" i="1"/>
  <c r="H55" i="1"/>
  <c r="H51" i="1"/>
  <c r="H50" i="1"/>
  <c r="F19" i="2"/>
  <c r="F18" i="2"/>
  <c r="F17" i="2"/>
  <c r="F16" i="2"/>
  <c r="D19" i="2"/>
  <c r="E18" i="2"/>
  <c r="D17" i="2"/>
  <c r="J30" i="1"/>
  <c r="F13" i="2"/>
  <c r="E14" i="2"/>
  <c r="F14" i="2" s="1"/>
  <c r="F15" i="2" s="1"/>
  <c r="D5" i="2"/>
  <c r="B5" i="2"/>
  <c r="B13" i="2" s="1"/>
  <c r="C5" i="2"/>
  <c r="C13" i="2" s="1"/>
  <c r="K65" i="1"/>
  <c r="I65" i="1"/>
  <c r="I64" i="1"/>
  <c r="I63" i="1"/>
  <c r="K60" i="1"/>
  <c r="J59" i="1"/>
  <c r="I60" i="1"/>
  <c r="I59" i="1"/>
  <c r="I58" i="1"/>
  <c r="J54" i="1"/>
  <c r="K55" i="1" s="1"/>
  <c r="I55" i="1"/>
  <c r="I54" i="1"/>
  <c r="K47" i="1"/>
  <c r="K46" i="1"/>
  <c r="J45" i="1"/>
  <c r="K42" i="1"/>
  <c r="C100" i="1"/>
  <c r="J64" i="1" s="1"/>
  <c r="C99" i="1"/>
  <c r="J63" i="1" s="1"/>
  <c r="C95" i="1"/>
  <c r="C94" i="1"/>
  <c r="J58" i="1" s="1"/>
  <c r="C85" i="1"/>
  <c r="C87" i="1" s="1"/>
  <c r="C84" i="1"/>
  <c r="C86" i="1" s="1"/>
  <c r="D70" i="1"/>
  <c r="D69" i="1"/>
  <c r="E66" i="1"/>
  <c r="E65" i="1"/>
  <c r="C56" i="1"/>
  <c r="J41" i="1" s="1"/>
  <c r="C55" i="1"/>
  <c r="J40" i="1" s="1"/>
  <c r="D60" i="1"/>
  <c r="D59" i="1"/>
  <c r="J36" i="1"/>
  <c r="C48" i="1"/>
  <c r="C50" i="1" s="1"/>
  <c r="C47" i="1"/>
  <c r="C49" i="1" s="1"/>
  <c r="D38" i="1"/>
  <c r="D37" i="1"/>
  <c r="K27" i="1"/>
  <c r="E16" i="2" s="1"/>
  <c r="I27" i="1"/>
  <c r="I26" i="1"/>
  <c r="I25" i="1"/>
  <c r="D30" i="1"/>
  <c r="D29" i="1"/>
  <c r="I22" i="1"/>
  <c r="I21" i="1"/>
  <c r="I20" i="1"/>
  <c r="C20" i="1"/>
  <c r="J20" i="1" s="1"/>
  <c r="C19" i="1"/>
  <c r="J19" i="1" s="1"/>
  <c r="E20" i="1"/>
  <c r="K21" i="1" s="1"/>
  <c r="K22" i="1" s="1"/>
  <c r="E19" i="1"/>
  <c r="K16" i="1"/>
  <c r="C14" i="1"/>
  <c r="J14" i="1" s="1"/>
  <c r="C15" i="1"/>
  <c r="J15" i="1" s="1"/>
  <c r="C10" i="1"/>
  <c r="E6" i="1"/>
  <c r="K10" i="1" s="1"/>
  <c r="B7" i="3"/>
  <c r="B6" i="3"/>
  <c r="B9" i="3"/>
  <c r="B8" i="3"/>
  <c r="J30" i="3" l="1"/>
  <c r="I19" i="3"/>
  <c r="D61" i="1"/>
  <c r="D31" i="1"/>
  <c r="D71" i="1"/>
  <c r="C51" i="1"/>
  <c r="E41" i="1" s="1"/>
  <c r="K37" i="1" s="1"/>
  <c r="C25" i="1"/>
  <c r="J26" i="1" s="1"/>
  <c r="C24" i="1"/>
  <c r="J25" i="1" s="1"/>
  <c r="C88" i="1"/>
  <c r="C78" i="1" s="1"/>
  <c r="J50" i="1" s="1"/>
  <c r="K51" i="1" s="1"/>
  <c r="D39" i="1"/>
  <c r="E78" i="1"/>
  <c r="E34" i="1"/>
  <c r="C33" i="1"/>
  <c r="C34" i="1"/>
  <c r="E33" i="1"/>
  <c r="E7" i="1"/>
  <c r="E8" i="1"/>
  <c r="K11" i="1" s="1"/>
  <c r="E9" i="1"/>
  <c r="D3" i="2"/>
  <c r="B5" i="3" s="1"/>
  <c r="J34" i="3" l="1"/>
  <c r="I29" i="3" l="1"/>
  <c r="H29" i="3" l="1"/>
  <c r="H30" i="3" s="1"/>
  <c r="I30" i="3"/>
  <c r="G30" i="3"/>
  <c r="F30" i="3" l="1"/>
  <c r="E30" i="3" l="1"/>
  <c r="C30" i="3" l="1"/>
  <c r="D30" i="3"/>
</calcChain>
</file>

<file path=xl/sharedStrings.xml><?xml version="1.0" encoding="utf-8"?>
<sst xmlns="http://schemas.openxmlformats.org/spreadsheetml/2006/main" count="438" uniqueCount="115">
  <si>
    <t>LIBRO DIARIO</t>
  </si>
  <si>
    <t>Cálculo Auxiliar en Esquema T</t>
  </si>
  <si>
    <t>FORMATO DEL LIBRO DIARIO</t>
  </si>
  <si>
    <t>DEBE</t>
  </si>
  <si>
    <t>HABER</t>
  </si>
  <si>
    <t>NRO</t>
  </si>
  <si>
    <t>FECHA</t>
  </si>
  <si>
    <t>CUENTAS CONTABLES</t>
  </si>
  <si>
    <t>FORMATO DEL LIBRO MAYOR</t>
  </si>
  <si>
    <t xml:space="preserve">FOLIO: </t>
  </si>
  <si>
    <t>CUENTA:</t>
  </si>
  <si>
    <t>DESCRIPCIÓN</t>
  </si>
  <si>
    <t>SALDO</t>
  </si>
  <si>
    <t>DEUDOR</t>
  </si>
  <si>
    <t>SUMAS</t>
  </si>
  <si>
    <t>ACREEDOR</t>
  </si>
  <si>
    <t>BALANCE DE COMPROBACIÓN DE SUMAS Y SALDOS - BALANCE GENERAL &amp; ESTADO DE RESULTADOS</t>
  </si>
  <si>
    <t>Nro.</t>
  </si>
  <si>
    <t>CUENTA CONTABLE</t>
  </si>
  <si>
    <t>SALDOS</t>
  </si>
  <si>
    <t>BALANCE GENERAL</t>
  </si>
  <si>
    <t>ESTADO DE RESULTADOS</t>
  </si>
  <si>
    <t>ACTIVO</t>
  </si>
  <si>
    <t>PASIVO/PN</t>
  </si>
  <si>
    <t>RES. NEGATIVO</t>
  </si>
  <si>
    <t>RES. POSITIVO</t>
  </si>
  <si>
    <t>SUMAS TOTALES</t>
  </si>
  <si>
    <t>RESULTADO DEL EJERCICIO</t>
  </si>
  <si>
    <t>SUMAS IGUALES</t>
  </si>
  <si>
    <t>Banco GNB CTA CTE</t>
  </si>
  <si>
    <t xml:space="preserve">Banco Itaú S.A </t>
  </si>
  <si>
    <t>Prestamos Bancarios</t>
  </si>
  <si>
    <t>APERTURA COMERCIAL EN FECHA</t>
  </si>
  <si>
    <t>Fondo Fijo</t>
  </si>
  <si>
    <t>Banco GNB SA CTA CTE</t>
  </si>
  <si>
    <t>Banco ITAU SA PLAZO FIJO</t>
  </si>
  <si>
    <t>Documentos a Cobrar</t>
  </si>
  <si>
    <t>Interes a Pagar</t>
  </si>
  <si>
    <t>TOTAL ACTIVO</t>
  </si>
  <si>
    <t>TOTAL PASIVO</t>
  </si>
  <si>
    <t>Capital</t>
  </si>
  <si>
    <t>Muebles y Equipos</t>
  </si>
  <si>
    <t>IVA CF 10%</t>
  </si>
  <si>
    <t>Banco GNB SA CTA  CTE</t>
  </si>
  <si>
    <t>Compra de Mobiliarios</t>
  </si>
  <si>
    <t>Elementos de Transporte</t>
  </si>
  <si>
    <t>Banco GNB SA CTE</t>
  </si>
  <si>
    <t>entrada</t>
  </si>
  <si>
    <t>salida</t>
  </si>
  <si>
    <t>Documentos a Pagar</t>
  </si>
  <si>
    <t>COMPRA DE CAMIONETA</t>
  </si>
  <si>
    <t>Mercaderias</t>
  </si>
  <si>
    <t>PSP</t>
  </si>
  <si>
    <t>PSR</t>
  </si>
  <si>
    <t>CADA UNO CON IVA</t>
  </si>
  <si>
    <t>TOTAL</t>
  </si>
  <si>
    <t>PRECIO DE VENTA UNITARIO</t>
  </si>
  <si>
    <t>Venta de Mercaderias</t>
  </si>
  <si>
    <t>IVA DF 10%</t>
  </si>
  <si>
    <t>costo venta</t>
  </si>
  <si>
    <t>Venta</t>
  </si>
  <si>
    <t>Costo de Ventas</t>
  </si>
  <si>
    <t>costo= unidadvendida * precio compra unitario sin iva</t>
  </si>
  <si>
    <t>unid vendida PSP</t>
  </si>
  <si>
    <t>unid vendidas PSR</t>
  </si>
  <si>
    <t>Precio de Compra sin IVA PSP</t>
  </si>
  <si>
    <t>Precio de Compra sin IVA PSR</t>
  </si>
  <si>
    <t>COSTO PSP</t>
  </si>
  <si>
    <t>COSTO PSR</t>
  </si>
  <si>
    <t>TOTAL COSTO</t>
  </si>
  <si>
    <t>COMPRA DE MERCADERIAS</t>
  </si>
  <si>
    <t>DOCUMENTOS A COBRAR</t>
  </si>
  <si>
    <t>VENTA DE MERCADERIAS</t>
  </si>
  <si>
    <t>COSTEO SEGUN FICHA DE DEPOSITO</t>
  </si>
  <si>
    <t>compra</t>
  </si>
  <si>
    <t>IVA CF 10 %</t>
  </si>
  <si>
    <t>Precio Unitario</t>
  </si>
  <si>
    <t>Iva CF 10%</t>
  </si>
  <si>
    <t>venta</t>
  </si>
  <si>
    <t>Costo venta</t>
  </si>
  <si>
    <t>x</t>
  </si>
  <si>
    <t>Patente</t>
  </si>
  <si>
    <t>Tasas, Patentes e Impuestos</t>
  </si>
  <si>
    <t>gastos</t>
  </si>
  <si>
    <t>Gastos de Limpieza</t>
  </si>
  <si>
    <t>Agua, Luz y Teléfono</t>
  </si>
  <si>
    <t>Compra</t>
  </si>
  <si>
    <t>Compra De Mercaderias</t>
  </si>
  <si>
    <t>COSTEO SEGÚN FICHA DE DEPOSITO</t>
  </si>
  <si>
    <t>PAGO POR PATENTE COMERCIAL</t>
  </si>
  <si>
    <t>COMPRA DE PRODUCTOS DE LIMPIEZA</t>
  </si>
  <si>
    <t>PAGO DE SERVICIOS DE INTERNET</t>
  </si>
  <si>
    <t>Compra de Camioneta</t>
  </si>
  <si>
    <t>Compra de Mercaderias</t>
  </si>
  <si>
    <t>Pago por Patente Comercial</t>
  </si>
  <si>
    <t>Sueldos y Jornales</t>
  </si>
  <si>
    <t>Aporte Patronal</t>
  </si>
  <si>
    <t>Honorarios Profesionales</t>
  </si>
  <si>
    <t xml:space="preserve">Sueldos a Pagar </t>
  </si>
  <si>
    <t>IPS a Pagar</t>
  </si>
  <si>
    <t>Sueldos a Pagar</t>
  </si>
  <si>
    <t>del contrato</t>
  </si>
  <si>
    <t>PAGO AL CONTADOR POR TRAMITES</t>
  </si>
  <si>
    <t>SE PROVISIONA SALARIO DEL MES</t>
  </si>
  <si>
    <t>Banco ITAU S.A</t>
  </si>
  <si>
    <t>Agua, Luz y  Telefono</t>
  </si>
  <si>
    <t>sumas</t>
  </si>
  <si>
    <t>Resultados Positivos</t>
  </si>
  <si>
    <t>Resultados Negativos</t>
  </si>
  <si>
    <t>Ganancia</t>
  </si>
  <si>
    <t>IRE</t>
  </si>
  <si>
    <t>LIQUIDEZ</t>
  </si>
  <si>
    <t>ENDEUDAMIENTO</t>
  </si>
  <si>
    <t>ROI</t>
  </si>
  <si>
    <t>PAS+P.NETO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</si>
</sst>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&quot;₲&quot;\ #,##0"/>
    <numFmt numFmtId="165" formatCode="[$₲-3C0A]\ #,##0"/>
  </numFmts>
  <fonts count="19" x14ac:knownFonts="1">
    <font>
      <sz val="12"/>
      <color theme="1"/>
      <name val="Aptos"/>
      <scheme val="minor"/>
    </font>
    <font>
      <sz val="12"/>
      <color theme="1"/>
      <name val="Aptos"/>
      <family val="2"/>
    </font>
    <font>
      <sz val="12"/>
      <name val="Aptos"/>
      <family val="2"/>
    </font>
    <font>
      <sz val="12"/>
      <color theme="1"/>
      <name val="Aptos"/>
      <family val="2"/>
      <scheme val="minor"/>
    </font>
    <font>
      <b/>
      <sz val="12"/>
      <color theme="1"/>
      <name val="Aptos"/>
      <family val="2"/>
    </font>
    <font>
      <sz val="12"/>
      <color theme="1"/>
      <name val="Arial"/>
      <family val="2"/>
    </font>
    <font>
      <i/>
      <sz val="12"/>
      <color theme="1"/>
      <name val="Aptos"/>
      <family val="2"/>
    </font>
    <font>
      <b/>
      <sz val="12"/>
      <color theme="1"/>
      <name val="Aptos"/>
      <family val="2"/>
      <scheme val="minor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sz val="12"/>
      <name val="Consolas"/>
      <family val="3"/>
    </font>
    <font>
      <sz val="12"/>
      <color rgb="FF00B050"/>
      <name val="Consolas"/>
      <family val="3"/>
    </font>
    <font>
      <sz val="12"/>
      <color theme="7"/>
      <name val="Consolas"/>
      <family val="3"/>
    </font>
    <font>
      <b/>
      <i/>
      <sz val="12"/>
      <color theme="1"/>
      <name val="Consolas"/>
      <family val="3"/>
    </font>
    <font>
      <b/>
      <i/>
      <sz val="12"/>
      <color theme="2"/>
      <name val="Consolas"/>
      <family val="3"/>
    </font>
    <font>
      <i/>
      <sz val="12"/>
      <color theme="1"/>
      <name val="Consolas"/>
      <family val="3"/>
    </font>
    <font>
      <b/>
      <i/>
      <sz val="12"/>
      <color theme="1"/>
      <name val="Aptos"/>
      <family val="2"/>
    </font>
    <font>
      <b/>
      <sz val="12"/>
      <name val="Consolas"/>
      <family val="3"/>
    </font>
    <font>
      <b/>
      <i/>
      <sz val="12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B4C6E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3" fillId="0" borderId="0" xfId="0" applyFont="1"/>
    <xf numFmtId="0" fontId="4" fillId="0" borderId="9" xfId="0" applyFont="1" applyBorder="1"/>
    <xf numFmtId="0" fontId="4" fillId="0" borderId="0" xfId="0" applyFont="1"/>
    <xf numFmtId="0" fontId="1" fillId="0" borderId="9" xfId="0" applyFont="1" applyBorder="1"/>
    <xf numFmtId="14" fontId="1" fillId="0" borderId="9" xfId="0" applyNumberFormat="1" applyFont="1" applyBorder="1"/>
    <xf numFmtId="0" fontId="6" fillId="0" borderId="0" xfId="0" applyFont="1"/>
    <xf numFmtId="0" fontId="4" fillId="6" borderId="15" xfId="0" applyFont="1" applyFill="1" applyBorder="1"/>
    <xf numFmtId="0" fontId="4" fillId="6" borderId="16" xfId="0" applyFont="1" applyFill="1" applyBorder="1"/>
    <xf numFmtId="0" fontId="4" fillId="6" borderId="17" xfId="0" applyFont="1" applyFill="1" applyBorder="1"/>
    <xf numFmtId="0" fontId="1" fillId="0" borderId="18" xfId="0" applyFont="1" applyBorder="1"/>
    <xf numFmtId="14" fontId="1" fillId="0" borderId="18" xfId="0" applyNumberFormat="1" applyFont="1" applyBorder="1"/>
    <xf numFmtId="0" fontId="5" fillId="0" borderId="18" xfId="0" applyFont="1" applyBorder="1"/>
    <xf numFmtId="164" fontId="3" fillId="0" borderId="0" xfId="0" applyNumberFormat="1" applyFont="1"/>
    <xf numFmtId="164" fontId="7" fillId="0" borderId="0" xfId="0" applyNumberFormat="1" applyFont="1"/>
    <xf numFmtId="0" fontId="1" fillId="0" borderId="29" xfId="0" applyFont="1" applyBorder="1"/>
    <xf numFmtId="0" fontId="7" fillId="0" borderId="27" xfId="0" applyFont="1" applyBorder="1"/>
    <xf numFmtId="165" fontId="1" fillId="0" borderId="18" xfId="0" applyNumberFormat="1" applyFont="1" applyBorder="1"/>
    <xf numFmtId="165" fontId="1" fillId="0" borderId="9" xfId="0" applyNumberFormat="1" applyFont="1" applyBorder="1"/>
    <xf numFmtId="165" fontId="4" fillId="0" borderId="9" xfId="0" applyNumberFormat="1" applyFont="1" applyBorder="1"/>
    <xf numFmtId="165" fontId="6" fillId="0" borderId="0" xfId="0" applyNumberFormat="1" applyFont="1"/>
    <xf numFmtId="165" fontId="4" fillId="6" borderId="16" xfId="0" applyNumberFormat="1" applyFont="1" applyFill="1" applyBorder="1"/>
    <xf numFmtId="165" fontId="4" fillId="6" borderId="17" xfId="0" applyNumberFormat="1" applyFont="1" applyFill="1" applyBorder="1"/>
    <xf numFmtId="165" fontId="1" fillId="0" borderId="0" xfId="0" applyNumberFormat="1" applyFont="1"/>
    <xf numFmtId="165" fontId="4" fillId="0" borderId="0" xfId="0" applyNumberFormat="1" applyFont="1"/>
    <xf numFmtId="165" fontId="1" fillId="0" borderId="29" xfId="0" applyNumberFormat="1" applyFont="1" applyBorder="1"/>
    <xf numFmtId="14" fontId="1" fillId="0" borderId="29" xfId="0" applyNumberFormat="1" applyFont="1" applyBorder="1"/>
    <xf numFmtId="0" fontId="7" fillId="0" borderId="0" xfId="0" applyFont="1"/>
    <xf numFmtId="164" fontId="1" fillId="0" borderId="9" xfId="0" applyNumberFormat="1" applyFont="1" applyBorder="1"/>
    <xf numFmtId="164" fontId="1" fillId="0" borderId="18" xfId="0" applyNumberFormat="1" applyFont="1" applyBorder="1"/>
    <xf numFmtId="164" fontId="1" fillId="0" borderId="29" xfId="0" applyNumberFormat="1" applyFont="1" applyBorder="1"/>
    <xf numFmtId="164" fontId="6" fillId="0" borderId="0" xfId="0" applyNumberFormat="1" applyFont="1"/>
    <xf numFmtId="164" fontId="4" fillId="6" borderId="16" xfId="0" applyNumberFormat="1" applyFont="1" applyFill="1" applyBorder="1"/>
    <xf numFmtId="164" fontId="4" fillId="6" borderId="17" xfId="0" applyNumberFormat="1" applyFont="1" applyFill="1" applyBorder="1"/>
    <xf numFmtId="165" fontId="7" fillId="0" borderId="27" xfId="0" applyNumberFormat="1" applyFont="1" applyBorder="1"/>
    <xf numFmtId="0" fontId="1" fillId="0" borderId="28" xfId="0" applyFont="1" applyBorder="1"/>
    <xf numFmtId="0" fontId="2" fillId="0" borderId="13" xfId="0" applyFont="1" applyBorder="1"/>
    <xf numFmtId="0" fontId="2" fillId="0" borderId="14" xfId="0" applyFont="1" applyBorder="1"/>
    <xf numFmtId="14" fontId="4" fillId="0" borderId="9" xfId="0" applyNumberFormat="1" applyFont="1" applyBorder="1"/>
    <xf numFmtId="0" fontId="3" fillId="0" borderId="27" xfId="0" applyFont="1" applyBorder="1"/>
    <xf numFmtId="14" fontId="3" fillId="0" borderId="27" xfId="0" applyNumberFormat="1" applyFont="1" applyBorder="1"/>
    <xf numFmtId="164" fontId="4" fillId="0" borderId="9" xfId="0" applyNumberFormat="1" applyFont="1" applyBorder="1"/>
    <xf numFmtId="0" fontId="3" fillId="0" borderId="14" xfId="0" applyFont="1" applyBorder="1"/>
    <xf numFmtId="0" fontId="8" fillId="2" borderId="1" xfId="0" applyFont="1" applyFill="1" applyBorder="1"/>
    <xf numFmtId="0" fontId="9" fillId="2" borderId="1" xfId="0" applyFont="1" applyFill="1" applyBorder="1"/>
    <xf numFmtId="0" fontId="9" fillId="0" borderId="0" xfId="0" applyFont="1"/>
    <xf numFmtId="0" fontId="8" fillId="0" borderId="0" xfId="0" applyFont="1" applyAlignment="1">
      <alignment horizontal="left" wrapText="1"/>
    </xf>
    <xf numFmtId="0" fontId="9" fillId="0" borderId="0" xfId="0" applyFont="1"/>
    <xf numFmtId="0" fontId="10" fillId="0" borderId="3" xfId="0" applyFont="1" applyBorder="1"/>
    <xf numFmtId="0" fontId="10" fillId="0" borderId="4" xfId="0" applyFont="1" applyBorder="1"/>
    <xf numFmtId="0" fontId="9" fillId="4" borderId="5" xfId="0" applyFont="1" applyFill="1" applyBorder="1" applyAlignment="1">
      <alignment horizontal="center"/>
    </xf>
    <xf numFmtId="0" fontId="10" fillId="0" borderId="6" xfId="0" applyFont="1" applyBorder="1"/>
    <xf numFmtId="0" fontId="9" fillId="4" borderId="7" xfId="0" applyFont="1" applyFill="1" applyBorder="1" applyAlignment="1">
      <alignment horizontal="center"/>
    </xf>
    <xf numFmtId="0" fontId="10" fillId="0" borderId="8" xfId="0" applyFont="1" applyBorder="1"/>
    <xf numFmtId="164" fontId="9" fillId="0" borderId="0" xfId="0" applyNumberFormat="1" applyFont="1"/>
    <xf numFmtId="164" fontId="9" fillId="0" borderId="10" xfId="0" applyNumberFormat="1" applyFont="1" applyBorder="1"/>
    <xf numFmtId="164" fontId="9" fillId="0" borderId="11" xfId="0" applyNumberFormat="1" applyFont="1" applyBorder="1"/>
    <xf numFmtId="164" fontId="8" fillId="0" borderId="1" xfId="0" applyNumberFormat="1" applyFont="1" applyBorder="1"/>
    <xf numFmtId="164" fontId="9" fillId="0" borderId="14" xfId="0" applyNumberFormat="1" applyFont="1" applyBorder="1"/>
    <xf numFmtId="0" fontId="9" fillId="0" borderId="1" xfId="0" applyFont="1" applyBorder="1"/>
    <xf numFmtId="164" fontId="9" fillId="4" borderId="5" xfId="0" applyNumberFormat="1" applyFont="1" applyFill="1" applyBorder="1" applyAlignment="1">
      <alignment horizontal="center"/>
    </xf>
    <xf numFmtId="164" fontId="10" fillId="0" borderId="6" xfId="0" applyNumberFormat="1" applyFont="1" applyBorder="1"/>
    <xf numFmtId="164" fontId="9" fillId="4" borderId="7" xfId="0" applyNumberFormat="1" applyFont="1" applyFill="1" applyBorder="1" applyAlignment="1">
      <alignment horizontal="center"/>
    </xf>
    <xf numFmtId="164" fontId="10" fillId="0" borderId="8" xfId="0" applyNumberFormat="1" applyFont="1" applyBorder="1"/>
    <xf numFmtId="164" fontId="8" fillId="0" borderId="0" xfId="0" applyNumberFormat="1" applyFont="1"/>
    <xf numFmtId="164" fontId="9" fillId="8" borderId="5" xfId="0" applyNumberFormat="1" applyFont="1" applyFill="1" applyBorder="1" applyAlignment="1">
      <alignment horizontal="center"/>
    </xf>
    <xf numFmtId="164" fontId="10" fillId="9" borderId="6" xfId="0" applyNumberFormat="1" applyFont="1" applyFill="1" applyBorder="1"/>
    <xf numFmtId="164" fontId="9" fillId="8" borderId="7" xfId="0" applyNumberFormat="1" applyFont="1" applyFill="1" applyBorder="1" applyAlignment="1">
      <alignment horizontal="center"/>
    </xf>
    <xf numFmtId="164" fontId="10" fillId="9" borderId="8" xfId="0" applyNumberFormat="1" applyFont="1" applyFill="1" applyBorder="1"/>
    <xf numFmtId="0" fontId="9" fillId="10" borderId="0" xfId="0" applyFont="1" applyFill="1"/>
    <xf numFmtId="164" fontId="11" fillId="0" borderId="0" xfId="0" applyNumberFormat="1" applyFont="1"/>
    <xf numFmtId="9" fontId="9" fillId="0" borderId="0" xfId="0" applyNumberFormat="1" applyFont="1"/>
    <xf numFmtId="164" fontId="8" fillId="0" borderId="0" xfId="0" applyNumberFormat="1" applyFont="1" applyAlignment="1">
      <alignment horizontal="center"/>
    </xf>
    <xf numFmtId="0" fontId="9" fillId="0" borderId="27" xfId="0" applyFont="1" applyBorder="1"/>
    <xf numFmtId="164" fontId="9" fillId="11" borderId="14" xfId="0" applyNumberFormat="1" applyFont="1" applyFill="1" applyBorder="1"/>
    <xf numFmtId="164" fontId="9" fillId="11" borderId="0" xfId="0" applyNumberFormat="1" applyFont="1" applyFill="1"/>
    <xf numFmtId="164" fontId="9" fillId="12" borderId="14" xfId="0" applyNumberFormat="1" applyFont="1" applyFill="1" applyBorder="1"/>
    <xf numFmtId="164" fontId="9" fillId="12" borderId="0" xfId="0" applyNumberFormat="1" applyFont="1" applyFill="1"/>
    <xf numFmtId="164" fontId="8" fillId="0" borderId="14" xfId="0" applyNumberFormat="1" applyFont="1" applyBorder="1"/>
    <xf numFmtId="164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14" xfId="0" applyNumberFormat="1" applyFont="1" applyBorder="1" applyAlignment="1">
      <alignment horizontal="left"/>
    </xf>
    <xf numFmtId="164" fontId="9" fillId="0" borderId="14" xfId="0" applyNumberFormat="1" applyFont="1" applyBorder="1" applyAlignment="1">
      <alignment horizontal="right"/>
    </xf>
    <xf numFmtId="164" fontId="9" fillId="0" borderId="14" xfId="0" applyNumberFormat="1" applyFont="1" applyBorder="1" applyAlignment="1">
      <alignment horizontal="center"/>
    </xf>
    <xf numFmtId="0" fontId="12" fillId="0" borderId="0" xfId="0" applyFont="1"/>
    <xf numFmtId="164" fontId="9" fillId="8" borderId="30" xfId="0" applyNumberFormat="1" applyFont="1" applyFill="1" applyBorder="1" applyAlignment="1">
      <alignment horizontal="center"/>
    </xf>
    <xf numFmtId="164" fontId="10" fillId="9" borderId="31" xfId="0" applyNumberFormat="1" applyFont="1" applyFill="1" applyBorder="1"/>
    <xf numFmtId="164" fontId="9" fillId="8" borderId="32" xfId="0" applyNumberFormat="1" applyFont="1" applyFill="1" applyBorder="1" applyAlignment="1">
      <alignment horizontal="center"/>
    </xf>
    <xf numFmtId="164" fontId="10" fillId="9" borderId="33" xfId="0" applyNumberFormat="1" applyFont="1" applyFill="1" applyBorder="1"/>
    <xf numFmtId="10" fontId="8" fillId="0" borderId="0" xfId="0" applyNumberFormat="1" applyFont="1"/>
    <xf numFmtId="9" fontId="8" fillId="0" borderId="0" xfId="0" applyNumberFormat="1" applyFont="1"/>
    <xf numFmtId="10" fontId="9" fillId="0" borderId="0" xfId="0" applyNumberFormat="1" applyFont="1"/>
    <xf numFmtId="0" fontId="9" fillId="0" borderId="14" xfId="0" applyFont="1" applyBorder="1"/>
    <xf numFmtId="9" fontId="9" fillId="0" borderId="27" xfId="0" applyNumberFormat="1" applyFont="1" applyBorder="1"/>
    <xf numFmtId="10" fontId="9" fillId="0" borderId="27" xfId="0" applyNumberFormat="1" applyFont="1" applyBorder="1"/>
    <xf numFmtId="164" fontId="10" fillId="0" borderId="14" xfId="0" applyNumberFormat="1" applyFont="1" applyBorder="1"/>
    <xf numFmtId="41" fontId="9" fillId="0" borderId="0" xfId="0" applyNumberFormat="1" applyFont="1"/>
    <xf numFmtId="0" fontId="9" fillId="0" borderId="10" xfId="0" applyFont="1" applyBorder="1"/>
    <xf numFmtId="164" fontId="13" fillId="14" borderId="27" xfId="0" applyNumberFormat="1" applyFont="1" applyFill="1" applyBorder="1" applyAlignment="1">
      <alignment horizontal="left" vertical="center"/>
    </xf>
    <xf numFmtId="164" fontId="14" fillId="15" borderId="27" xfId="0" applyNumberFormat="1" applyFont="1" applyFill="1" applyBorder="1" applyAlignment="1">
      <alignment horizontal="left" vertical="center"/>
    </xf>
    <xf numFmtId="164" fontId="13" fillId="12" borderId="27" xfId="0" applyNumberFormat="1" applyFont="1" applyFill="1" applyBorder="1" applyAlignment="1">
      <alignment horizontal="left" vertical="center"/>
    </xf>
    <xf numFmtId="164" fontId="13" fillId="16" borderId="27" xfId="0" applyNumberFormat="1" applyFont="1" applyFill="1" applyBorder="1" applyAlignment="1">
      <alignment horizontal="left" vertical="center"/>
    </xf>
    <xf numFmtId="164" fontId="15" fillId="0" borderId="27" xfId="0" applyNumberFormat="1" applyFont="1" applyBorder="1" applyAlignment="1">
      <alignment horizontal="left" vertical="center"/>
    </xf>
    <xf numFmtId="164" fontId="13" fillId="13" borderId="27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164" fontId="9" fillId="0" borderId="18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164" fontId="9" fillId="0" borderId="9" xfId="0" applyNumberFormat="1" applyFont="1" applyBorder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164" fontId="9" fillId="0" borderId="29" xfId="0" applyNumberFormat="1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164" fontId="9" fillId="0" borderId="27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8" fillId="0" borderId="27" xfId="0" applyNumberFormat="1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9" fontId="13" fillId="0" borderId="27" xfId="0" applyNumberFormat="1" applyFont="1" applyBorder="1" applyAlignment="1">
      <alignment horizontal="left" vertical="center"/>
    </xf>
    <xf numFmtId="9" fontId="8" fillId="0" borderId="27" xfId="0" applyNumberFormat="1" applyFont="1" applyBorder="1" applyAlignment="1">
      <alignment horizontal="left" vertical="center"/>
    </xf>
    <xf numFmtId="0" fontId="4" fillId="3" borderId="1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right"/>
    </xf>
    <xf numFmtId="0" fontId="16" fillId="7" borderId="1" xfId="0" applyFont="1" applyFill="1" applyBorder="1" applyAlignment="1">
      <alignment horizontal="left"/>
    </xf>
    <xf numFmtId="0" fontId="16" fillId="7" borderId="1" xfId="0" applyFont="1" applyFill="1" applyBorder="1" applyAlignment="1">
      <alignment horizontal="center"/>
    </xf>
    <xf numFmtId="165" fontId="3" fillId="0" borderId="0" xfId="0" applyNumberFormat="1" applyFont="1"/>
    <xf numFmtId="165" fontId="16" fillId="7" borderId="1" xfId="0" applyNumberFormat="1" applyFont="1" applyFill="1" applyBorder="1" applyAlignment="1">
      <alignment horizontal="left"/>
    </xf>
    <xf numFmtId="165" fontId="16" fillId="7" borderId="1" xfId="0" applyNumberFormat="1" applyFont="1" applyFill="1" applyBorder="1" applyAlignment="1">
      <alignment horizontal="center"/>
    </xf>
    <xf numFmtId="165" fontId="3" fillId="0" borderId="27" xfId="0" applyNumberFormat="1" applyFont="1" applyBorder="1"/>
    <xf numFmtId="0" fontId="3" fillId="0" borderId="35" xfId="0" applyFont="1" applyBorder="1"/>
    <xf numFmtId="14" fontId="3" fillId="0" borderId="35" xfId="0" applyNumberFormat="1" applyFont="1" applyBorder="1"/>
    <xf numFmtId="165" fontId="3" fillId="0" borderId="35" xfId="0" applyNumberFormat="1" applyFont="1" applyBorder="1"/>
    <xf numFmtId="165" fontId="4" fillId="0" borderId="37" xfId="0" applyNumberFormat="1" applyFont="1" applyBorder="1"/>
    <xf numFmtId="165" fontId="4" fillId="0" borderId="18" xfId="0" applyNumberFormat="1" applyFont="1" applyBorder="1"/>
    <xf numFmtId="164" fontId="3" fillId="0" borderId="27" xfId="0" applyNumberFormat="1" applyFont="1" applyBorder="1"/>
    <xf numFmtId="164" fontId="16" fillId="7" borderId="1" xfId="0" applyNumberFormat="1" applyFont="1" applyFill="1" applyBorder="1" applyAlignment="1">
      <alignment horizontal="left"/>
    </xf>
    <xf numFmtId="164" fontId="16" fillId="7" borderId="1" xfId="0" applyNumberFormat="1" applyFont="1" applyFill="1" applyBorder="1" applyAlignment="1">
      <alignment horizontal="center"/>
    </xf>
    <xf numFmtId="0" fontId="10" fillId="0" borderId="0" xfId="0" applyFont="1"/>
    <xf numFmtId="0" fontId="17" fillId="3" borderId="2" xfId="0" applyFont="1" applyFill="1" applyBorder="1" applyAlignment="1">
      <alignment horizontal="center"/>
    </xf>
    <xf numFmtId="0" fontId="17" fillId="0" borderId="9" xfId="0" applyFont="1" applyBorder="1"/>
    <xf numFmtId="0" fontId="17" fillId="0" borderId="29" xfId="0" applyFont="1" applyBorder="1"/>
    <xf numFmtId="0" fontId="10" fillId="0" borderId="9" xfId="0" applyFont="1" applyBorder="1"/>
    <xf numFmtId="14" fontId="10" fillId="0" borderId="9" xfId="0" applyNumberFormat="1" applyFont="1" applyBorder="1"/>
    <xf numFmtId="164" fontId="17" fillId="0" borderId="27" xfId="0" applyNumberFormat="1" applyFont="1" applyBorder="1"/>
    <xf numFmtId="164" fontId="10" fillId="0" borderId="27" xfId="0" applyNumberFormat="1" applyFont="1" applyBorder="1"/>
    <xf numFmtId="0" fontId="18" fillId="0" borderId="28" xfId="0" applyFont="1" applyBorder="1" applyAlignment="1">
      <alignment horizontal="center"/>
    </xf>
    <xf numFmtId="0" fontId="17" fillId="0" borderId="27" xfId="0" applyFont="1" applyBorder="1"/>
    <xf numFmtId="14" fontId="17" fillId="0" borderId="9" xfId="0" applyNumberFormat="1" applyFont="1" applyBorder="1"/>
    <xf numFmtId="0" fontId="17" fillId="0" borderId="28" xfId="0" applyFont="1" applyBorder="1" applyAlignment="1">
      <alignment horizontal="center"/>
    </xf>
    <xf numFmtId="164" fontId="17" fillId="0" borderId="27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0" fillId="0" borderId="29" xfId="0" applyFont="1" applyBorder="1"/>
    <xf numFmtId="0" fontId="10" fillId="0" borderId="27" xfId="0" applyFont="1" applyBorder="1"/>
    <xf numFmtId="0" fontId="10" fillId="0" borderId="18" xfId="0" applyFont="1" applyBorder="1"/>
    <xf numFmtId="0" fontId="17" fillId="0" borderId="11" xfId="0" applyFont="1" applyBorder="1" applyAlignment="1">
      <alignment horizontal="center"/>
    </xf>
    <xf numFmtId="14" fontId="10" fillId="0" borderId="27" xfId="0" applyNumberFormat="1" applyFont="1" applyBorder="1"/>
    <xf numFmtId="0" fontId="17" fillId="0" borderId="27" xfId="0" applyFont="1" applyBorder="1" applyAlignment="1">
      <alignment horizontal="center"/>
    </xf>
    <xf numFmtId="14" fontId="10" fillId="0" borderId="18" xfId="0" applyNumberFormat="1" applyFont="1" applyBorder="1"/>
    <xf numFmtId="164" fontId="17" fillId="0" borderId="18" xfId="0" applyNumberFormat="1" applyFont="1" applyBorder="1"/>
    <xf numFmtId="0" fontId="17" fillId="0" borderId="0" xfId="0" applyFont="1"/>
    <xf numFmtId="0" fontId="17" fillId="0" borderId="9" xfId="0" applyFont="1" applyBorder="1" applyAlignment="1">
      <alignment horizontal="center"/>
    </xf>
    <xf numFmtId="41" fontId="10" fillId="0" borderId="9" xfId="0" applyNumberFormat="1" applyFont="1" applyBorder="1"/>
    <xf numFmtId="164" fontId="17" fillId="0" borderId="9" xfId="0" applyNumberFormat="1" applyFont="1" applyBorder="1"/>
    <xf numFmtId="41" fontId="17" fillId="0" borderId="9" xfId="0" applyNumberFormat="1" applyFont="1" applyBorder="1"/>
    <xf numFmtId="0" fontId="17" fillId="0" borderId="29" xfId="0" applyFont="1" applyBorder="1" applyAlignment="1">
      <alignment horizontal="center"/>
    </xf>
    <xf numFmtId="41" fontId="17" fillId="0" borderId="29" xfId="0" applyNumberFormat="1" applyFont="1" applyBorder="1"/>
    <xf numFmtId="0" fontId="10" fillId="17" borderId="27" xfId="0" applyFont="1" applyFill="1" applyBorder="1"/>
    <xf numFmtId="0" fontId="10" fillId="17" borderId="27" xfId="0" applyFont="1" applyFill="1" applyBorder="1" applyAlignment="1">
      <alignment horizontal="center"/>
    </xf>
    <xf numFmtId="0" fontId="10" fillId="17" borderId="9" xfId="0" applyFont="1" applyFill="1" applyBorder="1"/>
    <xf numFmtId="41" fontId="10" fillId="17" borderId="9" xfId="0" applyNumberFormat="1" applyFont="1" applyFill="1" applyBorder="1"/>
    <xf numFmtId="0" fontId="10" fillId="17" borderId="29" xfId="0" applyFont="1" applyFill="1" applyBorder="1"/>
    <xf numFmtId="0" fontId="10" fillId="17" borderId="34" xfId="0" applyFont="1" applyFill="1" applyBorder="1"/>
    <xf numFmtId="164" fontId="10" fillId="17" borderId="35" xfId="0" applyNumberFormat="1" applyFont="1" applyFill="1" applyBorder="1"/>
    <xf numFmtId="0" fontId="10" fillId="17" borderId="28" xfId="0" applyFont="1" applyFill="1" applyBorder="1"/>
    <xf numFmtId="164" fontId="10" fillId="17" borderId="27" xfId="0" applyNumberFormat="1" applyFont="1" applyFill="1" applyBorder="1"/>
    <xf numFmtId="14" fontId="10" fillId="17" borderId="9" xfId="0" applyNumberFormat="1" applyFont="1" applyFill="1" applyBorder="1"/>
    <xf numFmtId="0" fontId="10" fillId="16" borderId="28" xfId="0" applyFont="1" applyFill="1" applyBorder="1"/>
    <xf numFmtId="164" fontId="10" fillId="16" borderId="28" xfId="0" applyNumberFormat="1" applyFont="1" applyFill="1" applyBorder="1"/>
    <xf numFmtId="0" fontId="10" fillId="16" borderId="27" xfId="0" applyFont="1" applyFill="1" applyBorder="1"/>
    <xf numFmtId="164" fontId="10" fillId="16" borderId="27" xfId="0" applyNumberFormat="1" applyFont="1" applyFill="1" applyBorder="1"/>
    <xf numFmtId="164" fontId="10" fillId="16" borderId="18" xfId="0" applyNumberFormat="1" applyFont="1" applyFill="1" applyBorder="1"/>
    <xf numFmtId="164" fontId="10" fillId="16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90" zoomScaleNormal="90" workbookViewId="0">
      <selection activeCell="L4" sqref="L4"/>
    </sheetView>
  </sheetViews>
  <sheetFormatPr defaultColWidth="11.1796875" defaultRowHeight="15" customHeight="1" x14ac:dyDescent="0.3"/>
  <cols>
    <col min="1" max="1" width="12.08984375" style="45" customWidth="1"/>
    <col min="2" max="2" width="23.81640625" style="45" customWidth="1"/>
    <col min="3" max="3" width="17.1796875" style="45" customWidth="1"/>
    <col min="4" max="4" width="20.54296875" style="45" customWidth="1"/>
    <col min="5" max="5" width="14.6328125" style="45" customWidth="1"/>
    <col min="6" max="6" width="7.90625" style="45" customWidth="1"/>
    <col min="7" max="7" width="5.08984375" style="153" customWidth="1"/>
    <col min="8" max="8" width="11.1796875" style="153" customWidth="1"/>
    <col min="9" max="9" width="23.81640625" style="153" customWidth="1"/>
    <col min="10" max="10" width="16.54296875" style="153" customWidth="1"/>
    <col min="11" max="11" width="19.453125" style="153" customWidth="1"/>
    <col min="12" max="12" width="12.1796875" style="45" customWidth="1"/>
    <col min="13" max="24" width="10.54296875" style="45" customWidth="1"/>
    <col min="25" max="16384" width="11.1796875" style="45"/>
  </cols>
  <sheetData>
    <row r="1" spans="2:12" ht="15.75" customHeight="1" x14ac:dyDescent="0.3">
      <c r="B1" s="43" t="s">
        <v>0</v>
      </c>
      <c r="C1" s="44"/>
      <c r="D1" s="44"/>
      <c r="E1" s="44"/>
      <c r="F1" s="44"/>
    </row>
    <row r="2" spans="2:12" ht="16.5" customHeight="1" x14ac:dyDescent="0.3"/>
    <row r="3" spans="2:12" ht="15.75" customHeight="1" x14ac:dyDescent="0.3">
      <c r="B3" s="46" t="s">
        <v>1</v>
      </c>
      <c r="C3" s="47"/>
      <c r="D3" s="47"/>
      <c r="E3" s="47"/>
      <c r="F3" s="47"/>
      <c r="G3" s="154" t="s">
        <v>2</v>
      </c>
      <c r="H3" s="48"/>
      <c r="I3" s="48"/>
      <c r="J3" s="48"/>
      <c r="K3" s="49"/>
    </row>
    <row r="4" spans="2:12" ht="15.75" customHeight="1" x14ac:dyDescent="0.3">
      <c r="B4" s="50" t="s">
        <v>3</v>
      </c>
      <c r="C4" s="51"/>
      <c r="D4" s="52" t="s">
        <v>4</v>
      </c>
      <c r="E4" s="53"/>
      <c r="G4" s="155" t="s">
        <v>5</v>
      </c>
      <c r="H4" s="155" t="s">
        <v>6</v>
      </c>
      <c r="I4" s="155" t="s">
        <v>7</v>
      </c>
      <c r="J4" s="156" t="s">
        <v>3</v>
      </c>
      <c r="K4" s="156" t="s">
        <v>4</v>
      </c>
    </row>
    <row r="5" spans="2:12" ht="15.75" customHeight="1" x14ac:dyDescent="0.3">
      <c r="B5" s="54" t="s">
        <v>33</v>
      </c>
      <c r="C5" s="54">
        <v>2500000</v>
      </c>
      <c r="D5" s="55" t="s">
        <v>31</v>
      </c>
      <c r="E5" s="54">
        <v>200000000</v>
      </c>
      <c r="G5" s="157">
        <v>1</v>
      </c>
      <c r="H5" s="158">
        <v>45413</v>
      </c>
      <c r="I5" s="193" t="s">
        <v>33</v>
      </c>
      <c r="J5" s="159">
        <v>2500000</v>
      </c>
      <c r="K5" s="160"/>
    </row>
    <row r="6" spans="2:12" ht="15.75" customHeight="1" x14ac:dyDescent="0.3">
      <c r="B6" s="54" t="s">
        <v>34</v>
      </c>
      <c r="C6" s="54">
        <v>450000000</v>
      </c>
      <c r="D6" s="56" t="s">
        <v>37</v>
      </c>
      <c r="E6" s="54">
        <f>(E5*180*12.5)/(365*100)</f>
        <v>12328767.12328767</v>
      </c>
      <c r="G6" s="157"/>
      <c r="H6" s="158">
        <v>45413</v>
      </c>
      <c r="I6" s="193" t="s">
        <v>29</v>
      </c>
      <c r="J6" s="159">
        <v>450000000</v>
      </c>
      <c r="K6" s="160"/>
    </row>
    <row r="7" spans="2:12" ht="15.75" customHeight="1" x14ac:dyDescent="0.3">
      <c r="B7" s="54" t="s">
        <v>35</v>
      </c>
      <c r="C7" s="54">
        <v>100000000</v>
      </c>
      <c r="D7" s="55" t="s">
        <v>39</v>
      </c>
      <c r="E7" s="54">
        <f>E6+E5</f>
        <v>212328767.12328768</v>
      </c>
      <c r="G7" s="157"/>
      <c r="H7" s="158">
        <v>45413</v>
      </c>
      <c r="I7" s="193" t="s">
        <v>30</v>
      </c>
      <c r="J7" s="159">
        <v>100000000</v>
      </c>
      <c r="K7" s="160"/>
    </row>
    <row r="8" spans="2:12" ht="15.75" customHeight="1" x14ac:dyDescent="0.3">
      <c r="B8" s="57" t="s">
        <v>36</v>
      </c>
      <c r="C8" s="54">
        <v>1300000</v>
      </c>
      <c r="D8" s="54" t="s">
        <v>40</v>
      </c>
      <c r="E8" s="54">
        <f>C10-E7</f>
        <v>341471232.87671232</v>
      </c>
      <c r="G8" s="157"/>
      <c r="H8" s="158">
        <v>45413</v>
      </c>
      <c r="I8" s="193" t="s">
        <v>36</v>
      </c>
      <c r="J8" s="159">
        <v>1300000</v>
      </c>
      <c r="K8" s="160"/>
    </row>
    <row r="9" spans="2:12" ht="15.75" customHeight="1" x14ac:dyDescent="0.3">
      <c r="D9" s="58" t="s">
        <v>114</v>
      </c>
      <c r="E9" s="54">
        <f>SUM(E7:E8)</f>
        <v>553800000</v>
      </c>
      <c r="G9" s="157"/>
      <c r="H9" s="158">
        <v>45413</v>
      </c>
      <c r="I9" s="193" t="s">
        <v>31</v>
      </c>
      <c r="J9" s="159"/>
      <c r="K9" s="159">
        <v>200000000</v>
      </c>
    </row>
    <row r="10" spans="2:12" ht="15.75" customHeight="1" x14ac:dyDescent="0.3">
      <c r="B10" s="54" t="s">
        <v>38</v>
      </c>
      <c r="C10" s="54">
        <f>SUM(C5:C8)</f>
        <v>553800000</v>
      </c>
      <c r="G10" s="157"/>
      <c r="H10" s="158"/>
      <c r="I10" s="193" t="s">
        <v>37</v>
      </c>
      <c r="J10" s="159"/>
      <c r="K10" s="159">
        <f>E6</f>
        <v>12328767.12328767</v>
      </c>
      <c r="L10" s="59"/>
    </row>
    <row r="11" spans="2:12" ht="15.75" customHeight="1" x14ac:dyDescent="0.3">
      <c r="G11" s="157"/>
      <c r="H11" s="157"/>
      <c r="I11" s="193" t="s">
        <v>40</v>
      </c>
      <c r="J11" s="159"/>
      <c r="K11" s="159">
        <f>E8</f>
        <v>341471232.87671232</v>
      </c>
      <c r="L11" s="59"/>
    </row>
    <row r="12" spans="2:12" ht="15.75" customHeight="1" thickBot="1" x14ac:dyDescent="0.35">
      <c r="G12" s="157"/>
      <c r="H12" s="157"/>
      <c r="I12" s="161" t="s">
        <v>32</v>
      </c>
      <c r="J12" s="160"/>
      <c r="K12" s="160"/>
    </row>
    <row r="13" spans="2:12" ht="15.75" customHeight="1" thickBot="1" x14ac:dyDescent="0.35">
      <c r="B13" s="60" t="s">
        <v>3</v>
      </c>
      <c r="C13" s="61"/>
      <c r="D13" s="62" t="s">
        <v>4</v>
      </c>
      <c r="E13" s="63"/>
      <c r="G13" s="185"/>
      <c r="H13" s="185"/>
      <c r="I13" s="190"/>
      <c r="J13" s="191"/>
      <c r="K13" s="191"/>
    </row>
    <row r="14" spans="2:12" ht="15.75" customHeight="1" x14ac:dyDescent="0.3">
      <c r="B14" s="54" t="s">
        <v>41</v>
      </c>
      <c r="C14" s="54">
        <f>E14/1.1</f>
        <v>2409090.9090909087</v>
      </c>
      <c r="D14" s="55" t="s">
        <v>29</v>
      </c>
      <c r="E14" s="54">
        <v>2650000</v>
      </c>
      <c r="G14" s="157">
        <v>2</v>
      </c>
      <c r="H14" s="158">
        <v>45414</v>
      </c>
      <c r="I14" s="193" t="s">
        <v>41</v>
      </c>
      <c r="J14" s="159">
        <f>C14</f>
        <v>2409090.9090909087</v>
      </c>
      <c r="K14" s="160"/>
      <c r="L14" s="59"/>
    </row>
    <row r="15" spans="2:12" ht="15.75" customHeight="1" x14ac:dyDescent="0.3">
      <c r="B15" s="54" t="s">
        <v>42</v>
      </c>
      <c r="C15" s="54">
        <f>E14/11</f>
        <v>240909.09090909091</v>
      </c>
      <c r="D15" s="56"/>
      <c r="E15" s="54"/>
      <c r="G15" s="157"/>
      <c r="H15" s="158">
        <v>45414</v>
      </c>
      <c r="I15" s="193" t="s">
        <v>42</v>
      </c>
      <c r="J15" s="159">
        <f>C15</f>
        <v>240909.09090909091</v>
      </c>
      <c r="K15" s="159"/>
      <c r="L15" s="59"/>
    </row>
    <row r="16" spans="2:12" ht="15.75" customHeight="1" x14ac:dyDescent="0.3">
      <c r="B16" s="54"/>
      <c r="C16" s="54"/>
      <c r="D16" s="55"/>
      <c r="E16" s="54"/>
      <c r="G16" s="157"/>
      <c r="H16" s="158">
        <v>45414</v>
      </c>
      <c r="I16" s="193" t="s">
        <v>43</v>
      </c>
      <c r="J16" s="159"/>
      <c r="K16" s="159">
        <f>E14</f>
        <v>2650000</v>
      </c>
      <c r="L16" s="59"/>
    </row>
    <row r="17" spans="1:11" ht="15.75" customHeight="1" thickBot="1" x14ac:dyDescent="0.35">
      <c r="B17" s="64" t="s">
        <v>47</v>
      </c>
      <c r="C17" s="64"/>
      <c r="D17" s="64" t="s">
        <v>48</v>
      </c>
      <c r="E17" s="54"/>
      <c r="G17" s="157"/>
      <c r="H17" s="157"/>
      <c r="I17" s="161" t="s">
        <v>44</v>
      </c>
      <c r="J17" s="160"/>
      <c r="K17" s="160"/>
    </row>
    <row r="18" spans="1:11" ht="15.75" customHeight="1" thickBot="1" x14ac:dyDescent="0.35">
      <c r="B18" s="65" t="s">
        <v>3</v>
      </c>
      <c r="C18" s="66"/>
      <c r="D18" s="67" t="s">
        <v>4</v>
      </c>
      <c r="E18" s="68"/>
      <c r="G18" s="185"/>
      <c r="H18" s="185"/>
      <c r="I18" s="190"/>
      <c r="J18" s="191"/>
      <c r="K18" s="191"/>
    </row>
    <row r="19" spans="1:11" ht="15.75" customHeight="1" x14ac:dyDescent="0.3">
      <c r="B19" s="54" t="s">
        <v>45</v>
      </c>
      <c r="C19" s="54">
        <f>E21/1.1</f>
        <v>42727272.727272727</v>
      </c>
      <c r="D19" s="55" t="s">
        <v>46</v>
      </c>
      <c r="E19" s="54">
        <f>E21/2</f>
        <v>23500000</v>
      </c>
      <c r="G19" s="157">
        <v>3</v>
      </c>
      <c r="H19" s="158">
        <v>45415</v>
      </c>
      <c r="I19" s="193" t="s">
        <v>45</v>
      </c>
      <c r="J19" s="159">
        <f>C19</f>
        <v>42727272.727272727</v>
      </c>
      <c r="K19" s="160"/>
    </row>
    <row r="20" spans="1:11" ht="15.75" customHeight="1" x14ac:dyDescent="0.3">
      <c r="B20" s="54" t="s">
        <v>42</v>
      </c>
      <c r="C20" s="54">
        <f>E21/11</f>
        <v>4272727.2727272725</v>
      </c>
      <c r="D20" s="56" t="s">
        <v>49</v>
      </c>
      <c r="E20" s="54">
        <f>E21/2</f>
        <v>23500000</v>
      </c>
      <c r="G20" s="157"/>
      <c r="H20" s="158">
        <v>45415</v>
      </c>
      <c r="I20" s="194" t="str">
        <f>B20</f>
        <v>IVA CF 10%</v>
      </c>
      <c r="J20" s="159">
        <f>C20</f>
        <v>4272727.2727272725</v>
      </c>
      <c r="K20" s="162"/>
    </row>
    <row r="21" spans="1:11" ht="15.75" customHeight="1" x14ac:dyDescent="0.3">
      <c r="B21" s="54"/>
      <c r="C21" s="54"/>
      <c r="D21" s="55"/>
      <c r="E21" s="64">
        <v>47000000</v>
      </c>
      <c r="G21" s="157"/>
      <c r="H21" s="158">
        <v>45415</v>
      </c>
      <c r="I21" s="194" t="str">
        <f>D19</f>
        <v>Banco GNB SA CTE</v>
      </c>
      <c r="J21" s="159"/>
      <c r="K21" s="159">
        <f>E20</f>
        <v>23500000</v>
      </c>
    </row>
    <row r="22" spans="1:11" ht="15.75" customHeight="1" thickBot="1" x14ac:dyDescent="0.35">
      <c r="B22" s="54"/>
      <c r="C22" s="54"/>
      <c r="D22" s="54"/>
      <c r="E22" s="54"/>
      <c r="G22" s="157"/>
      <c r="H22" s="158">
        <v>45415</v>
      </c>
      <c r="I22" s="194" t="str">
        <f>D20</f>
        <v>Documentos a Pagar</v>
      </c>
      <c r="J22" s="159"/>
      <c r="K22" s="159">
        <f>K21</f>
        <v>23500000</v>
      </c>
    </row>
    <row r="23" spans="1:11" ht="15.75" customHeight="1" thickBot="1" x14ac:dyDescent="0.35">
      <c r="A23" s="69" t="s">
        <v>86</v>
      </c>
      <c r="B23" s="65" t="s">
        <v>3</v>
      </c>
      <c r="C23" s="66"/>
      <c r="D23" s="67" t="s">
        <v>4</v>
      </c>
      <c r="E23" s="68"/>
      <c r="G23" s="157"/>
      <c r="H23" s="157"/>
      <c r="I23" s="161" t="s">
        <v>50</v>
      </c>
      <c r="J23" s="160"/>
      <c r="K23" s="160"/>
    </row>
    <row r="24" spans="1:11" ht="15.75" customHeight="1" x14ac:dyDescent="0.3">
      <c r="B24" s="54" t="s">
        <v>51</v>
      </c>
      <c r="C24" s="54">
        <f>D31/1.1</f>
        <v>204090909.09090906</v>
      </c>
      <c r="D24" s="55" t="s">
        <v>34</v>
      </c>
      <c r="E24" s="54">
        <v>224500000</v>
      </c>
      <c r="G24" s="185"/>
      <c r="H24" s="185"/>
      <c r="I24" s="190"/>
      <c r="J24" s="191"/>
      <c r="K24" s="191"/>
    </row>
    <row r="25" spans="1:11" ht="15.75" customHeight="1" x14ac:dyDescent="0.3">
      <c r="B25" s="54" t="s">
        <v>42</v>
      </c>
      <c r="C25" s="54">
        <f>D31/11</f>
        <v>20409090.90909091</v>
      </c>
      <c r="D25" s="56"/>
      <c r="E25" s="54"/>
      <c r="G25" s="157">
        <v>4</v>
      </c>
      <c r="H25" s="163">
        <v>45416</v>
      </c>
      <c r="I25" s="194" t="str">
        <f>B24</f>
        <v>Mercaderias</v>
      </c>
      <c r="J25" s="159">
        <f>C24</f>
        <v>204090909.09090906</v>
      </c>
      <c r="K25" s="159"/>
    </row>
    <row r="26" spans="1:11" ht="15.75" customHeight="1" x14ac:dyDescent="0.3">
      <c r="B26" s="54"/>
      <c r="C26" s="54"/>
      <c r="D26" s="55"/>
      <c r="E26" s="54"/>
      <c r="G26" s="157"/>
      <c r="H26" s="158">
        <v>45416</v>
      </c>
      <c r="I26" s="194" t="str">
        <f>B25</f>
        <v>IVA CF 10%</v>
      </c>
      <c r="J26" s="159">
        <f>C25</f>
        <v>20409090.90909091</v>
      </c>
      <c r="K26" s="160"/>
    </row>
    <row r="27" spans="1:11" ht="15.75" customHeight="1" x14ac:dyDescent="0.3">
      <c r="B27" s="54"/>
      <c r="C27" s="54"/>
      <c r="D27" s="54"/>
      <c r="E27" s="54"/>
      <c r="G27" s="157"/>
      <c r="H27" s="158">
        <v>45416</v>
      </c>
      <c r="I27" s="194" t="str">
        <f>D24</f>
        <v>Banco GNB SA CTA CTE</v>
      </c>
      <c r="J27" s="159"/>
      <c r="K27" s="159">
        <f>E24</f>
        <v>224500000</v>
      </c>
    </row>
    <row r="28" spans="1:11" ht="15.75" customHeight="1" x14ac:dyDescent="0.3">
      <c r="B28" s="54"/>
      <c r="C28" s="54" t="s">
        <v>54</v>
      </c>
      <c r="D28" s="54" t="s">
        <v>55</v>
      </c>
      <c r="E28" s="54"/>
      <c r="G28" s="157"/>
      <c r="H28" s="157"/>
      <c r="I28" s="164" t="s">
        <v>70</v>
      </c>
      <c r="J28" s="165"/>
      <c r="K28" s="160"/>
    </row>
    <row r="29" spans="1:11" ht="15.75" customHeight="1" x14ac:dyDescent="0.3">
      <c r="A29" s="45">
        <v>35</v>
      </c>
      <c r="B29" s="54" t="s">
        <v>52</v>
      </c>
      <c r="C29" s="54">
        <v>5900000</v>
      </c>
      <c r="D29" s="54">
        <f>35*C29</f>
        <v>206500000</v>
      </c>
      <c r="E29" s="54"/>
      <c r="G29" s="185"/>
      <c r="H29" s="185"/>
      <c r="I29" s="190"/>
      <c r="J29" s="191"/>
      <c r="K29" s="191"/>
    </row>
    <row r="30" spans="1:11" ht="15.75" customHeight="1" x14ac:dyDescent="0.3">
      <c r="A30" s="45">
        <v>30</v>
      </c>
      <c r="B30" s="54" t="s">
        <v>53</v>
      </c>
      <c r="C30" s="54">
        <v>600000</v>
      </c>
      <c r="D30" s="54">
        <f>30*C30</f>
        <v>18000000</v>
      </c>
      <c r="E30" s="54"/>
      <c r="G30" s="157">
        <v>5</v>
      </c>
      <c r="H30" s="158">
        <v>45418</v>
      </c>
      <c r="I30" s="193" t="s">
        <v>34</v>
      </c>
      <c r="J30" s="159">
        <f>89520000</f>
        <v>89520000</v>
      </c>
      <c r="K30" s="159"/>
    </row>
    <row r="31" spans="1:11" ht="15.75" customHeight="1" thickBot="1" x14ac:dyDescent="0.35">
      <c r="D31" s="70">
        <f>D30+D29</f>
        <v>224500000</v>
      </c>
      <c r="G31" s="157"/>
      <c r="H31" s="158">
        <v>45418</v>
      </c>
      <c r="I31" s="193" t="s">
        <v>71</v>
      </c>
      <c r="J31" s="159">
        <v>134280000</v>
      </c>
      <c r="K31" s="160"/>
    </row>
    <row r="32" spans="1:11" ht="15.75" customHeight="1" thickBot="1" x14ac:dyDescent="0.35">
      <c r="A32" s="69" t="s">
        <v>60</v>
      </c>
      <c r="B32" s="65" t="s">
        <v>3</v>
      </c>
      <c r="C32" s="66"/>
      <c r="D32" s="67" t="s">
        <v>4</v>
      </c>
      <c r="E32" s="68"/>
      <c r="G32" s="157"/>
      <c r="H32" s="158">
        <v>45418</v>
      </c>
      <c r="I32" s="193" t="s">
        <v>72</v>
      </c>
      <c r="J32" s="159"/>
      <c r="K32" s="159">
        <v>203454545</v>
      </c>
    </row>
    <row r="33" spans="1:12" ht="15.75" customHeight="1" x14ac:dyDescent="0.3">
      <c r="A33" s="71">
        <v>0.4</v>
      </c>
      <c r="B33" s="54" t="s">
        <v>34</v>
      </c>
      <c r="C33" s="54">
        <f>D39*40%</f>
        <v>89520000</v>
      </c>
      <c r="D33" s="55" t="s">
        <v>57</v>
      </c>
      <c r="E33" s="54">
        <f>D39/1.1</f>
        <v>203454545.45454544</v>
      </c>
      <c r="G33" s="157"/>
      <c r="H33" s="158">
        <v>45418</v>
      </c>
      <c r="I33" s="193" t="s">
        <v>58</v>
      </c>
      <c r="J33" s="159"/>
      <c r="K33" s="159">
        <v>20345455</v>
      </c>
    </row>
    <row r="34" spans="1:12" ht="15.75" customHeight="1" x14ac:dyDescent="0.3">
      <c r="A34" s="71">
        <v>0.6</v>
      </c>
      <c r="B34" s="54" t="s">
        <v>36</v>
      </c>
      <c r="C34" s="54">
        <f>D39*A34</f>
        <v>134280000</v>
      </c>
      <c r="D34" s="56" t="s">
        <v>58</v>
      </c>
      <c r="E34" s="54">
        <f>D39/11</f>
        <v>20345454.545454547</v>
      </c>
      <c r="G34" s="157"/>
      <c r="H34" s="157"/>
      <c r="I34" s="164" t="s">
        <v>72</v>
      </c>
      <c r="J34" s="165"/>
      <c r="K34" s="160"/>
    </row>
    <row r="35" spans="1:12" ht="15.75" customHeight="1" x14ac:dyDescent="0.3">
      <c r="B35" s="54"/>
      <c r="C35" s="54"/>
      <c r="D35" s="55"/>
      <c r="E35" s="54"/>
      <c r="G35" s="185"/>
      <c r="H35" s="185"/>
      <c r="I35" s="190"/>
      <c r="J35" s="191"/>
      <c r="K35" s="191"/>
    </row>
    <row r="36" spans="1:12" ht="15.75" customHeight="1" x14ac:dyDescent="0.3">
      <c r="B36" s="54"/>
      <c r="C36" s="54" t="s">
        <v>56</v>
      </c>
      <c r="D36" s="54"/>
      <c r="E36" s="54"/>
      <c r="G36" s="157">
        <v>6</v>
      </c>
      <c r="H36" s="158">
        <v>45418</v>
      </c>
      <c r="I36" s="193" t="s">
        <v>61</v>
      </c>
      <c r="J36" s="159">
        <f>C41</f>
        <v>172909091</v>
      </c>
      <c r="K36" s="159"/>
    </row>
    <row r="37" spans="1:12" ht="15.75" customHeight="1" x14ac:dyDescent="0.3">
      <c r="A37" s="45">
        <v>30</v>
      </c>
      <c r="B37" s="54" t="s">
        <v>52</v>
      </c>
      <c r="C37" s="54">
        <v>6800000</v>
      </c>
      <c r="D37" s="54">
        <f>C37*A37</f>
        <v>204000000</v>
      </c>
      <c r="E37" s="54"/>
      <c r="G37" s="157"/>
      <c r="H37" s="158">
        <v>45418</v>
      </c>
      <c r="I37" s="193" t="s">
        <v>51</v>
      </c>
      <c r="J37" s="159"/>
      <c r="K37" s="159">
        <f>E41</f>
        <v>172909090.90909091</v>
      </c>
    </row>
    <row r="38" spans="1:12" ht="15.75" customHeight="1" x14ac:dyDescent="0.3">
      <c r="A38" s="45">
        <v>22</v>
      </c>
      <c r="B38" s="54" t="s">
        <v>53</v>
      </c>
      <c r="C38" s="54">
        <v>900000</v>
      </c>
      <c r="D38" s="54">
        <f>A38*C38</f>
        <v>19800000</v>
      </c>
      <c r="E38" s="54"/>
      <c r="G38" s="157"/>
      <c r="H38" s="157"/>
      <c r="I38" s="164" t="s">
        <v>73</v>
      </c>
      <c r="J38" s="165"/>
      <c r="K38" s="160"/>
    </row>
    <row r="39" spans="1:12" ht="15.75" customHeight="1" thickBot="1" x14ac:dyDescent="0.35">
      <c r="B39" s="54"/>
      <c r="C39" s="54"/>
      <c r="D39" s="54">
        <f>D38+D37</f>
        <v>223800000</v>
      </c>
      <c r="E39" s="54"/>
      <c r="G39" s="185"/>
      <c r="H39" s="192"/>
      <c r="I39" s="190"/>
      <c r="J39" s="191"/>
      <c r="K39" s="191"/>
      <c r="L39" s="59"/>
    </row>
    <row r="40" spans="1:12" ht="15.75" customHeight="1" thickBot="1" x14ac:dyDescent="0.35">
      <c r="A40" s="69" t="s">
        <v>59</v>
      </c>
      <c r="B40" s="65" t="s">
        <v>3</v>
      </c>
      <c r="C40" s="66"/>
      <c r="D40" s="67" t="s">
        <v>4</v>
      </c>
      <c r="E40" s="68"/>
      <c r="G40" s="157">
        <v>7</v>
      </c>
      <c r="H40" s="158">
        <v>45420</v>
      </c>
      <c r="I40" s="193" t="s">
        <v>51</v>
      </c>
      <c r="J40" s="159">
        <f>C55</f>
        <v>56363636.36363636</v>
      </c>
      <c r="K40" s="160"/>
      <c r="L40" s="59"/>
    </row>
    <row r="41" spans="1:12" ht="15.75" customHeight="1" x14ac:dyDescent="0.3">
      <c r="B41" s="54" t="s">
        <v>61</v>
      </c>
      <c r="C41" s="54">
        <v>172909091</v>
      </c>
      <c r="D41" s="55" t="s">
        <v>51</v>
      </c>
      <c r="E41" s="54">
        <f>C51</f>
        <v>172909090.90909091</v>
      </c>
      <c r="G41" s="157"/>
      <c r="H41" s="157"/>
      <c r="I41" s="193" t="s">
        <v>77</v>
      </c>
      <c r="J41" s="159">
        <f>C56</f>
        <v>5636363.6363636367</v>
      </c>
      <c r="K41" s="159"/>
      <c r="L41" s="59"/>
    </row>
    <row r="42" spans="1:12" ht="15.75" customHeight="1" x14ac:dyDescent="0.3">
      <c r="B42" s="54"/>
      <c r="C42" s="54"/>
      <c r="D42" s="56"/>
      <c r="E42" s="54"/>
      <c r="G42" s="157"/>
      <c r="H42" s="157"/>
      <c r="I42" s="193" t="s">
        <v>34</v>
      </c>
      <c r="J42" s="159"/>
      <c r="K42" s="159">
        <f>E55</f>
        <v>62000000</v>
      </c>
      <c r="L42" s="59"/>
    </row>
    <row r="43" spans="1:12" ht="15.75" customHeight="1" x14ac:dyDescent="0.3">
      <c r="B43" s="54"/>
      <c r="C43" s="54"/>
      <c r="D43" s="55"/>
      <c r="E43" s="54"/>
      <c r="G43" s="157"/>
      <c r="H43" s="157"/>
      <c r="I43" s="166" t="s">
        <v>87</v>
      </c>
      <c r="J43" s="167"/>
      <c r="K43" s="160"/>
      <c r="L43" s="59"/>
    </row>
    <row r="44" spans="1:12" ht="15.75" customHeight="1" x14ac:dyDescent="0.3">
      <c r="B44" s="72" t="s">
        <v>62</v>
      </c>
      <c r="C44" s="54"/>
      <c r="D44" s="54"/>
      <c r="E44" s="54"/>
      <c r="G44" s="185"/>
      <c r="H44" s="185"/>
      <c r="I44" s="190"/>
      <c r="J44" s="191"/>
      <c r="K44" s="191"/>
      <c r="L44" s="59"/>
    </row>
    <row r="45" spans="1:12" ht="15.75" customHeight="1" x14ac:dyDescent="0.3">
      <c r="B45" s="58" t="s">
        <v>63</v>
      </c>
      <c r="C45" s="45">
        <v>30</v>
      </c>
      <c r="G45" s="168">
        <v>9</v>
      </c>
      <c r="H45" s="158">
        <v>45420</v>
      </c>
      <c r="I45" s="193" t="s">
        <v>34</v>
      </c>
      <c r="J45" s="159">
        <f>C65</f>
        <v>91700000</v>
      </c>
      <c r="K45" s="169"/>
      <c r="L45" s="59"/>
    </row>
    <row r="46" spans="1:12" ht="15.75" customHeight="1" x14ac:dyDescent="0.3">
      <c r="B46" s="58" t="s">
        <v>64</v>
      </c>
      <c r="C46" s="45">
        <v>22</v>
      </c>
      <c r="G46" s="169"/>
      <c r="H46" s="158">
        <v>45420</v>
      </c>
      <c r="I46" s="193" t="s">
        <v>57</v>
      </c>
      <c r="J46" s="159"/>
      <c r="K46" s="159">
        <f>E65</f>
        <v>83363636.36363636</v>
      </c>
      <c r="L46" s="59"/>
    </row>
    <row r="47" spans="1:12" ht="15.75" customHeight="1" x14ac:dyDescent="0.3">
      <c r="B47" s="58" t="s">
        <v>65</v>
      </c>
      <c r="C47" s="54">
        <f>C29/1.1</f>
        <v>5363636.3636363633</v>
      </c>
      <c r="G47" s="170"/>
      <c r="H47" s="158">
        <v>45420</v>
      </c>
      <c r="I47" s="193" t="s">
        <v>58</v>
      </c>
      <c r="J47" s="159"/>
      <c r="K47" s="159">
        <f>E66</f>
        <v>8336363.6363636367</v>
      </c>
      <c r="L47" s="59"/>
    </row>
    <row r="48" spans="1:12" ht="15.75" customHeight="1" x14ac:dyDescent="0.3">
      <c r="B48" s="58" t="s">
        <v>66</v>
      </c>
      <c r="C48" s="54">
        <f>C30/1.1</f>
        <v>545454.54545454541</v>
      </c>
      <c r="G48" s="157"/>
      <c r="H48" s="158"/>
      <c r="I48" s="171" t="s">
        <v>72</v>
      </c>
      <c r="J48" s="160"/>
      <c r="K48" s="160"/>
      <c r="L48" s="59"/>
    </row>
    <row r="49" spans="1:12" ht="15.75" customHeight="1" x14ac:dyDescent="0.3">
      <c r="B49" s="74" t="s">
        <v>67</v>
      </c>
      <c r="C49" s="75">
        <f>C45*C47</f>
        <v>160909090.90909091</v>
      </c>
      <c r="G49" s="187"/>
      <c r="H49" s="187"/>
      <c r="I49" s="188"/>
      <c r="J49" s="189"/>
      <c r="K49" s="189"/>
      <c r="L49" s="59"/>
    </row>
    <row r="50" spans="1:12" ht="15.75" customHeight="1" x14ac:dyDescent="0.3">
      <c r="B50" s="76" t="s">
        <v>68</v>
      </c>
      <c r="C50" s="77">
        <f>C46*C48</f>
        <v>12000000</v>
      </c>
      <c r="G50" s="169">
        <v>10</v>
      </c>
      <c r="H50" s="172">
        <f>H47</f>
        <v>45420</v>
      </c>
      <c r="I50" s="195" t="s">
        <v>61</v>
      </c>
      <c r="J50" s="159">
        <f>C78</f>
        <v>69818181.818181813</v>
      </c>
      <c r="K50" s="162"/>
    </row>
    <row r="51" spans="1:12" ht="15.75" customHeight="1" x14ac:dyDescent="0.3">
      <c r="B51" s="78" t="s">
        <v>69</v>
      </c>
      <c r="C51" s="64">
        <f>C50+C49</f>
        <v>172909090.90909091</v>
      </c>
      <c r="G51" s="169"/>
      <c r="H51" s="172">
        <f>H50</f>
        <v>45420</v>
      </c>
      <c r="I51" s="195" t="s">
        <v>51</v>
      </c>
      <c r="J51" s="162"/>
      <c r="K51" s="159">
        <f>J50</f>
        <v>69818181.818181813</v>
      </c>
    </row>
    <row r="52" spans="1:12" ht="15.75" customHeight="1" x14ac:dyDescent="0.3">
      <c r="G52" s="169"/>
      <c r="H52" s="169"/>
      <c r="I52" s="173" t="s">
        <v>88</v>
      </c>
      <c r="J52" s="169"/>
      <c r="K52" s="169"/>
    </row>
    <row r="53" spans="1:12" ht="15.75" customHeight="1" thickBot="1" x14ac:dyDescent="0.35">
      <c r="G53" s="183"/>
      <c r="H53" s="183"/>
      <c r="I53" s="183"/>
      <c r="J53" s="183"/>
      <c r="K53" s="183"/>
    </row>
    <row r="54" spans="1:12" ht="15.75" customHeight="1" thickBot="1" x14ac:dyDescent="0.35">
      <c r="A54" s="69" t="s">
        <v>74</v>
      </c>
      <c r="B54" s="65" t="s">
        <v>3</v>
      </c>
      <c r="C54" s="66"/>
      <c r="D54" s="67" t="s">
        <v>4</v>
      </c>
      <c r="E54" s="68"/>
      <c r="G54" s="169">
        <v>11</v>
      </c>
      <c r="H54" s="172">
        <v>45421</v>
      </c>
      <c r="I54" s="196" t="str">
        <f>B91</f>
        <v>Tasas, Patentes e Impuestos</v>
      </c>
      <c r="J54" s="159">
        <f>C91</f>
        <v>500000</v>
      </c>
      <c r="K54" s="162"/>
    </row>
    <row r="55" spans="1:12" ht="15.75" customHeight="1" x14ac:dyDescent="0.3">
      <c r="B55" s="54" t="s">
        <v>51</v>
      </c>
      <c r="C55" s="54">
        <f>E55/1.1</f>
        <v>56363636.36363636</v>
      </c>
      <c r="D55" s="55" t="s">
        <v>34</v>
      </c>
      <c r="E55" s="54">
        <v>62000000</v>
      </c>
      <c r="G55" s="169"/>
      <c r="H55" s="172">
        <f>H54</f>
        <v>45421</v>
      </c>
      <c r="I55" s="196" t="str">
        <f>D91</f>
        <v>Banco GNB SA CTA CTE</v>
      </c>
      <c r="J55" s="162"/>
      <c r="K55" s="159">
        <f>J54</f>
        <v>500000</v>
      </c>
    </row>
    <row r="56" spans="1:12" ht="15.75" customHeight="1" x14ac:dyDescent="0.3">
      <c r="B56" s="54" t="s">
        <v>75</v>
      </c>
      <c r="C56" s="54">
        <f>E55/11</f>
        <v>5636363.6363636367</v>
      </c>
      <c r="D56" s="56"/>
      <c r="E56" s="54"/>
      <c r="G56" s="169"/>
      <c r="H56" s="169"/>
      <c r="I56" s="173" t="s">
        <v>89</v>
      </c>
      <c r="J56" s="169"/>
      <c r="K56" s="169"/>
    </row>
    <row r="57" spans="1:12" ht="15.75" customHeight="1" x14ac:dyDescent="0.3">
      <c r="B57" s="54"/>
      <c r="C57" s="54"/>
      <c r="D57" s="55"/>
      <c r="E57" s="54"/>
      <c r="G57" s="183"/>
      <c r="H57" s="183"/>
      <c r="I57" s="183"/>
      <c r="J57" s="183"/>
      <c r="K57" s="183"/>
    </row>
    <row r="58" spans="1:12" ht="15.75" customHeight="1" x14ac:dyDescent="0.3">
      <c r="B58" s="54"/>
      <c r="C58" s="54" t="s">
        <v>76</v>
      </c>
      <c r="D58" s="54"/>
      <c r="E58" s="54"/>
      <c r="G58" s="169">
        <v>12</v>
      </c>
      <c r="H58" s="172">
        <v>45424</v>
      </c>
      <c r="I58" s="196" t="str">
        <f>B94</f>
        <v>Gastos de Limpieza</v>
      </c>
      <c r="J58" s="159">
        <f>C94</f>
        <v>1200000</v>
      </c>
      <c r="K58" s="169"/>
    </row>
    <row r="59" spans="1:12" ht="15.75" customHeight="1" x14ac:dyDescent="0.3">
      <c r="A59" s="45">
        <v>10</v>
      </c>
      <c r="B59" s="79" t="s">
        <v>52</v>
      </c>
      <c r="C59" s="80">
        <v>5900000</v>
      </c>
      <c r="D59" s="80">
        <f>C59*A59</f>
        <v>59000000</v>
      </c>
      <c r="E59" s="54"/>
      <c r="G59" s="169"/>
      <c r="H59" s="172">
        <f>H58</f>
        <v>45424</v>
      </c>
      <c r="I59" s="196" t="str">
        <f>B95</f>
        <v>IVA CF 10%</v>
      </c>
      <c r="J59" s="159">
        <f>C95</f>
        <v>120000</v>
      </c>
      <c r="K59" s="169"/>
    </row>
    <row r="60" spans="1:12" ht="15.75" customHeight="1" x14ac:dyDescent="0.3">
      <c r="A60" s="45">
        <v>5</v>
      </c>
      <c r="B60" s="81" t="s">
        <v>53</v>
      </c>
      <c r="C60" s="82">
        <v>600000</v>
      </c>
      <c r="D60" s="82">
        <f>C60*A60</f>
        <v>3000000</v>
      </c>
      <c r="E60" s="83"/>
      <c r="G60" s="169"/>
      <c r="H60" s="172">
        <f>H59</f>
        <v>45424</v>
      </c>
      <c r="I60" s="196" t="str">
        <f>D91</f>
        <v>Banco GNB SA CTA CTE</v>
      </c>
      <c r="J60" s="162"/>
      <c r="K60" s="159">
        <f>E94</f>
        <v>1320000</v>
      </c>
    </row>
    <row r="61" spans="1:12" ht="15.75" customHeight="1" x14ac:dyDescent="0.3">
      <c r="D61" s="77">
        <f>D60+D59</f>
        <v>62000000</v>
      </c>
      <c r="G61" s="169"/>
      <c r="H61" s="169"/>
      <c r="I61" s="173" t="s">
        <v>90</v>
      </c>
      <c r="J61" s="169"/>
      <c r="K61" s="169"/>
    </row>
    <row r="62" spans="1:12" ht="15.75" customHeight="1" x14ac:dyDescent="0.3">
      <c r="G62" s="183"/>
      <c r="H62" s="183"/>
      <c r="I62" s="183"/>
      <c r="J62" s="183"/>
      <c r="K62" s="183"/>
    </row>
    <row r="63" spans="1:12" ht="15.75" customHeight="1" x14ac:dyDescent="0.3">
      <c r="G63" s="169">
        <v>13</v>
      </c>
      <c r="H63" s="172">
        <v>45427</v>
      </c>
      <c r="I63" s="196" t="str">
        <f>B99</f>
        <v>Agua, Luz y Teléfono</v>
      </c>
      <c r="J63" s="159">
        <f>C99</f>
        <v>890909.09090909082</v>
      </c>
      <c r="K63" s="162"/>
    </row>
    <row r="64" spans="1:12" ht="15.75" customHeight="1" thickBot="1" x14ac:dyDescent="0.35">
      <c r="A64" s="84" t="s">
        <v>78</v>
      </c>
      <c r="B64" s="85" t="s">
        <v>3</v>
      </c>
      <c r="C64" s="86"/>
      <c r="D64" s="87" t="s">
        <v>4</v>
      </c>
      <c r="E64" s="88"/>
      <c r="G64" s="169"/>
      <c r="H64" s="172">
        <f>H63</f>
        <v>45427</v>
      </c>
      <c r="I64" s="196" t="str">
        <f>B100</f>
        <v>IVA CF 10%</v>
      </c>
      <c r="J64" s="159">
        <f>C100</f>
        <v>89090.909090909088</v>
      </c>
      <c r="K64" s="169"/>
    </row>
    <row r="65" spans="1:12" ht="15.75" customHeight="1" x14ac:dyDescent="0.3">
      <c r="A65" s="71"/>
      <c r="B65" s="54" t="s">
        <v>34</v>
      </c>
      <c r="C65" s="54">
        <v>91700000</v>
      </c>
      <c r="D65" s="55" t="s">
        <v>57</v>
      </c>
      <c r="E65" s="54">
        <f>C65/1.1</f>
        <v>83363636.36363636</v>
      </c>
      <c r="G65" s="170"/>
      <c r="H65" s="174">
        <f>H64</f>
        <v>45427</v>
      </c>
      <c r="I65" s="197" t="str">
        <f>D99</f>
        <v>Banco GNB SA CTA CTE</v>
      </c>
      <c r="J65" s="176"/>
      <c r="K65" s="175">
        <f>E99</f>
        <v>980000</v>
      </c>
    </row>
    <row r="66" spans="1:12" ht="15.75" customHeight="1" x14ac:dyDescent="0.3">
      <c r="A66" s="71"/>
      <c r="B66" s="54"/>
      <c r="C66" s="54"/>
      <c r="D66" s="56" t="s">
        <v>58</v>
      </c>
      <c r="E66" s="54">
        <f>C65/11</f>
        <v>8336363.6363636367</v>
      </c>
      <c r="G66" s="157"/>
      <c r="H66" s="158"/>
      <c r="I66" s="177" t="s">
        <v>91</v>
      </c>
      <c r="J66" s="178"/>
      <c r="K66" s="157"/>
      <c r="L66" s="59"/>
    </row>
    <row r="67" spans="1:12" ht="15.75" customHeight="1" x14ac:dyDescent="0.3">
      <c r="B67" s="54"/>
      <c r="C67" s="54"/>
      <c r="D67" s="55"/>
      <c r="E67" s="54"/>
      <c r="G67" s="185"/>
      <c r="H67" s="185"/>
      <c r="I67" s="185"/>
      <c r="J67" s="186"/>
      <c r="K67" s="186"/>
      <c r="L67" s="59"/>
    </row>
    <row r="68" spans="1:12" ht="15.75" customHeight="1" x14ac:dyDescent="0.3">
      <c r="B68" s="54"/>
      <c r="C68" s="54" t="s">
        <v>56</v>
      </c>
      <c r="D68" s="54"/>
      <c r="E68" s="54"/>
      <c r="G68" s="157">
        <v>14</v>
      </c>
      <c r="H68" s="163">
        <v>45432</v>
      </c>
      <c r="I68" s="198" t="str">
        <f>B103</f>
        <v>Honorarios Profesionales</v>
      </c>
      <c r="J68" s="179">
        <f>C103</f>
        <v>4618181.8181818174</v>
      </c>
      <c r="K68" s="178"/>
    </row>
    <row r="69" spans="1:12" ht="15.75" customHeight="1" x14ac:dyDescent="0.3">
      <c r="A69" s="45">
        <v>12</v>
      </c>
      <c r="B69" s="54" t="s">
        <v>52</v>
      </c>
      <c r="C69" s="54">
        <v>6850000</v>
      </c>
      <c r="D69" s="54">
        <f>C69*A69</f>
        <v>82200000</v>
      </c>
      <c r="E69" s="54"/>
      <c r="G69" s="157"/>
      <c r="H69" s="163">
        <v>45432</v>
      </c>
      <c r="I69" s="198" t="str">
        <f>B104</f>
        <v>IVA CF 10%</v>
      </c>
      <c r="J69" s="179">
        <f>C104</f>
        <v>461818.18181818182</v>
      </c>
      <c r="K69" s="180"/>
    </row>
    <row r="70" spans="1:12" ht="15.75" customHeight="1" x14ac:dyDescent="0.3">
      <c r="A70" s="45">
        <v>10</v>
      </c>
      <c r="B70" s="54" t="s">
        <v>53</v>
      </c>
      <c r="C70" s="54">
        <v>950000</v>
      </c>
      <c r="D70" s="54">
        <f>C70*A70</f>
        <v>9500000</v>
      </c>
      <c r="E70" s="54"/>
      <c r="G70" s="157"/>
      <c r="H70" s="158">
        <v>45432</v>
      </c>
      <c r="I70" s="198" t="str">
        <f>D103</f>
        <v>Banco GNB SA CTA CTE</v>
      </c>
      <c r="J70" s="155"/>
      <c r="K70" s="179">
        <f>E103</f>
        <v>5080000</v>
      </c>
    </row>
    <row r="71" spans="1:12" ht="15.75" customHeight="1" x14ac:dyDescent="0.3">
      <c r="B71" s="54"/>
      <c r="C71" s="54"/>
      <c r="D71" s="54">
        <f>D70+D69</f>
        <v>91700000</v>
      </c>
      <c r="E71" s="54"/>
      <c r="G71" s="168"/>
      <c r="H71" s="158"/>
      <c r="I71" s="181" t="s">
        <v>102</v>
      </c>
      <c r="J71" s="182"/>
      <c r="K71" s="182"/>
    </row>
    <row r="72" spans="1:12" ht="15.75" customHeight="1" x14ac:dyDescent="0.3">
      <c r="G72" s="183"/>
      <c r="H72" s="183"/>
      <c r="I72" s="184"/>
      <c r="J72" s="183"/>
      <c r="K72" s="183"/>
    </row>
    <row r="73" spans="1:12" ht="15.75" customHeight="1" x14ac:dyDescent="0.3">
      <c r="G73" s="169">
        <v>15</v>
      </c>
      <c r="H73" s="172">
        <v>45442</v>
      </c>
      <c r="I73" s="196" t="str">
        <f>B108</f>
        <v>Sueldos y Jornales</v>
      </c>
      <c r="J73" s="159">
        <f>C108</f>
        <v>9180373</v>
      </c>
      <c r="K73" s="162"/>
    </row>
    <row r="74" spans="1:12" ht="15.75" customHeight="1" x14ac:dyDescent="0.3">
      <c r="G74" s="169"/>
      <c r="H74" s="172">
        <v>45442</v>
      </c>
      <c r="I74" s="196" t="str">
        <f>B109</f>
        <v>Aporte Patronal</v>
      </c>
      <c r="J74" s="159">
        <f>C109</f>
        <v>1514761.5450000002</v>
      </c>
      <c r="K74" s="162"/>
    </row>
    <row r="75" spans="1:12" ht="15.75" customHeight="1" x14ac:dyDescent="0.3">
      <c r="G75" s="169"/>
      <c r="H75" s="172">
        <v>45442</v>
      </c>
      <c r="I75" s="196" t="str">
        <f>D108</f>
        <v xml:space="preserve">Sueldos a Pagar </v>
      </c>
      <c r="J75" s="159"/>
      <c r="K75" s="159">
        <f>E108</f>
        <v>2340995.1150000002</v>
      </c>
    </row>
    <row r="76" spans="1:12" ht="15.75" customHeight="1" x14ac:dyDescent="0.3">
      <c r="G76" s="169"/>
      <c r="H76" s="172">
        <v>45442</v>
      </c>
      <c r="I76" s="196" t="str">
        <f>D109</f>
        <v>IPS a Pagar</v>
      </c>
      <c r="J76" s="159"/>
      <c r="K76" s="159">
        <f>E109</f>
        <v>8354139.4300000006</v>
      </c>
    </row>
    <row r="77" spans="1:12" ht="15.75" customHeight="1" thickBot="1" x14ac:dyDescent="0.35">
      <c r="A77" s="84" t="s">
        <v>79</v>
      </c>
      <c r="B77" s="85" t="s">
        <v>3</v>
      </c>
      <c r="C77" s="86"/>
      <c r="D77" s="87" t="s">
        <v>4</v>
      </c>
      <c r="E77" s="88"/>
      <c r="G77" s="169"/>
      <c r="H77" s="169"/>
      <c r="I77" s="173" t="s">
        <v>103</v>
      </c>
      <c r="J77" s="169"/>
      <c r="K77" s="169"/>
    </row>
    <row r="78" spans="1:12" ht="15.75" customHeight="1" x14ac:dyDescent="0.3">
      <c r="B78" s="54" t="s">
        <v>61</v>
      </c>
      <c r="C78" s="54">
        <f>C88</f>
        <v>69818181.818181813</v>
      </c>
      <c r="D78" s="55" t="s">
        <v>51</v>
      </c>
      <c r="E78" s="54">
        <f>C88</f>
        <v>69818181.818181813</v>
      </c>
      <c r="F78" s="89"/>
      <c r="G78" s="183"/>
      <c r="H78" s="183"/>
      <c r="I78" s="183"/>
      <c r="J78" s="183"/>
      <c r="K78" s="183"/>
    </row>
    <row r="79" spans="1:12" ht="15.75" customHeight="1" x14ac:dyDescent="0.3">
      <c r="B79" s="54"/>
      <c r="C79" s="54" t="s">
        <v>80</v>
      </c>
      <c r="D79" s="56"/>
      <c r="E79" s="54"/>
      <c r="F79" s="90"/>
      <c r="G79" s="169"/>
      <c r="H79" s="169"/>
      <c r="I79" s="169"/>
      <c r="J79" s="159">
        <f>SUM(I5:J76)</f>
        <v>1466752407.3631818</v>
      </c>
      <c r="K79" s="159">
        <f>SUM(K5:K76)</f>
        <v>1466752407.2722728</v>
      </c>
    </row>
    <row r="80" spans="1:12" ht="15.75" customHeight="1" x14ac:dyDescent="0.3">
      <c r="B80" s="54"/>
      <c r="C80" s="54"/>
      <c r="D80" s="55"/>
      <c r="E80" s="54"/>
      <c r="G80" s="169"/>
      <c r="H80" s="169"/>
      <c r="I80" s="169"/>
      <c r="J80" s="169"/>
      <c r="K80" s="169"/>
    </row>
    <row r="81" spans="1:11" ht="15.75" customHeight="1" x14ac:dyDescent="0.3">
      <c r="B81" s="72" t="s">
        <v>62</v>
      </c>
      <c r="C81" s="54"/>
      <c r="D81" s="54"/>
      <c r="E81" s="54"/>
      <c r="G81" s="169"/>
      <c r="H81" s="169"/>
      <c r="I81" s="169"/>
      <c r="J81" s="169"/>
      <c r="K81" s="169"/>
    </row>
    <row r="82" spans="1:11" ht="15.75" customHeight="1" x14ac:dyDescent="0.3">
      <c r="B82" s="58" t="s">
        <v>63</v>
      </c>
      <c r="C82" s="45">
        <v>12</v>
      </c>
      <c r="G82" s="169"/>
      <c r="H82" s="169"/>
      <c r="I82" s="169"/>
      <c r="J82" s="169"/>
      <c r="K82" s="169"/>
    </row>
    <row r="83" spans="1:11" ht="15.75" customHeight="1" x14ac:dyDescent="0.3">
      <c r="B83" s="58" t="s">
        <v>64</v>
      </c>
      <c r="C83" s="45">
        <v>10</v>
      </c>
    </row>
    <row r="84" spans="1:11" ht="15.75" customHeight="1" x14ac:dyDescent="0.3">
      <c r="B84" s="58" t="s">
        <v>65</v>
      </c>
      <c r="C84" s="54">
        <f>C59/1.1</f>
        <v>5363636.3636363633</v>
      </c>
    </row>
    <row r="85" spans="1:11" ht="15.75" customHeight="1" x14ac:dyDescent="0.3">
      <c r="B85" s="58" t="s">
        <v>66</v>
      </c>
      <c r="C85" s="54">
        <f>C60/1.1</f>
        <v>545454.54545454541</v>
      </c>
    </row>
    <row r="86" spans="1:11" ht="15.75" customHeight="1" x14ac:dyDescent="0.3">
      <c r="B86" s="74" t="s">
        <v>67</v>
      </c>
      <c r="C86" s="75">
        <f>C84*C82</f>
        <v>64363636.36363636</v>
      </c>
    </row>
    <row r="87" spans="1:11" ht="15.75" customHeight="1" x14ac:dyDescent="0.3">
      <c r="B87" s="76" t="s">
        <v>68</v>
      </c>
      <c r="C87" s="77">
        <f>C85*C83</f>
        <v>5454545.4545454541</v>
      </c>
    </row>
    <row r="88" spans="1:11" ht="15.75" customHeight="1" x14ac:dyDescent="0.3">
      <c r="B88" s="78" t="s">
        <v>69</v>
      </c>
      <c r="C88" s="64">
        <f>C87+C86</f>
        <v>69818181.818181813</v>
      </c>
    </row>
    <row r="89" spans="1:11" ht="15.75" customHeight="1" x14ac:dyDescent="0.3"/>
    <row r="90" spans="1:11" ht="15.75" customHeight="1" thickBot="1" x14ac:dyDescent="0.35">
      <c r="A90" s="84" t="s">
        <v>81</v>
      </c>
      <c r="B90" s="85" t="s">
        <v>3</v>
      </c>
      <c r="C90" s="86"/>
      <c r="D90" s="87" t="s">
        <v>4</v>
      </c>
      <c r="E90" s="88"/>
    </row>
    <row r="91" spans="1:11" ht="15.75" customHeight="1" x14ac:dyDescent="0.3">
      <c r="B91" s="54" t="s">
        <v>82</v>
      </c>
      <c r="C91" s="54">
        <v>500000</v>
      </c>
      <c r="D91" s="55" t="s">
        <v>34</v>
      </c>
      <c r="E91" s="54">
        <v>500000</v>
      </c>
    </row>
    <row r="92" spans="1:11" ht="15.75" customHeight="1" x14ac:dyDescent="0.3">
      <c r="B92" s="54"/>
      <c r="C92" s="54"/>
      <c r="D92" s="56"/>
      <c r="E92" s="54"/>
    </row>
    <row r="93" spans="1:11" ht="15.75" customHeight="1" thickBot="1" x14ac:dyDescent="0.35">
      <c r="B93" s="85" t="s">
        <v>3</v>
      </c>
      <c r="C93" s="86"/>
      <c r="D93" s="87" t="s">
        <v>4</v>
      </c>
      <c r="E93" s="88"/>
    </row>
    <row r="94" spans="1:11" ht="15.75" customHeight="1" x14ac:dyDescent="0.3">
      <c r="A94" s="45" t="s">
        <v>83</v>
      </c>
      <c r="B94" s="54" t="s">
        <v>84</v>
      </c>
      <c r="C94" s="54">
        <f>E94/1.1</f>
        <v>1200000</v>
      </c>
      <c r="D94" s="55" t="s">
        <v>34</v>
      </c>
      <c r="E94" s="54">
        <v>1320000</v>
      </c>
    </row>
    <row r="95" spans="1:11" ht="15.75" customHeight="1" x14ac:dyDescent="0.3">
      <c r="B95" s="54" t="s">
        <v>42</v>
      </c>
      <c r="C95" s="54">
        <f>E94/11</f>
        <v>120000</v>
      </c>
      <c r="D95" s="56"/>
      <c r="E95" s="54"/>
    </row>
    <row r="96" spans="1:11" ht="15.75" customHeight="1" x14ac:dyDescent="0.3"/>
    <row r="97" spans="1:5" ht="15.75" customHeight="1" x14ac:dyDescent="0.3"/>
    <row r="98" spans="1:5" ht="15.75" customHeight="1" thickBot="1" x14ac:dyDescent="0.35">
      <c r="B98" s="85" t="s">
        <v>3</v>
      </c>
      <c r="C98" s="86"/>
      <c r="D98" s="87" t="s">
        <v>4</v>
      </c>
      <c r="E98" s="88"/>
    </row>
    <row r="99" spans="1:5" ht="15.75" customHeight="1" x14ac:dyDescent="0.3">
      <c r="B99" s="54" t="s">
        <v>85</v>
      </c>
      <c r="C99" s="54">
        <f>E99/1.1</f>
        <v>890909.09090909082</v>
      </c>
      <c r="D99" s="55" t="s">
        <v>34</v>
      </c>
      <c r="E99" s="54">
        <v>980000</v>
      </c>
    </row>
    <row r="100" spans="1:5" ht="15.75" customHeight="1" x14ac:dyDescent="0.3">
      <c r="B100" s="54" t="s">
        <v>42</v>
      </c>
      <c r="C100" s="54">
        <f>E99/11</f>
        <v>89090.909090909088</v>
      </c>
      <c r="D100" s="56"/>
      <c r="E100" s="54"/>
    </row>
    <row r="101" spans="1:5" ht="15.75" customHeight="1" x14ac:dyDescent="0.3"/>
    <row r="102" spans="1:5" ht="15.75" customHeight="1" thickBot="1" x14ac:dyDescent="0.35">
      <c r="B102" s="85" t="s">
        <v>3</v>
      </c>
      <c r="C102" s="86"/>
      <c r="D102" s="87" t="s">
        <v>4</v>
      </c>
      <c r="E102" s="88"/>
    </row>
    <row r="103" spans="1:5" ht="15.75" customHeight="1" x14ac:dyDescent="0.3">
      <c r="A103" s="71"/>
      <c r="B103" s="54" t="s">
        <v>97</v>
      </c>
      <c r="C103" s="54">
        <f>E103/1.1</f>
        <v>4618181.8181818174</v>
      </c>
      <c r="D103" s="55" t="s">
        <v>34</v>
      </c>
      <c r="E103" s="54">
        <v>5080000</v>
      </c>
    </row>
    <row r="104" spans="1:5" ht="15.75" customHeight="1" x14ac:dyDescent="0.3">
      <c r="A104" s="91"/>
      <c r="B104" s="54" t="s">
        <v>42</v>
      </c>
      <c r="C104" s="54">
        <f>E103/11</f>
        <v>461818.18181818182</v>
      </c>
      <c r="D104" s="56"/>
      <c r="E104" s="54"/>
    </row>
    <row r="105" spans="1:5" ht="15.75" customHeight="1" x14ac:dyDescent="0.3"/>
    <row r="106" spans="1:5" ht="15.75" customHeight="1" x14ac:dyDescent="0.3"/>
    <row r="107" spans="1:5" ht="15.75" customHeight="1" thickBot="1" x14ac:dyDescent="0.35">
      <c r="B107" s="85" t="s">
        <v>3</v>
      </c>
      <c r="C107" s="86"/>
      <c r="D107" s="87" t="s">
        <v>4</v>
      </c>
      <c r="E107" s="88"/>
    </row>
    <row r="108" spans="1:5" ht="15.75" customHeight="1" x14ac:dyDescent="0.3">
      <c r="A108" s="71">
        <v>1</v>
      </c>
      <c r="B108" s="54" t="s">
        <v>95</v>
      </c>
      <c r="C108" s="54">
        <f>3000000+3500000+2680373</f>
        <v>9180373</v>
      </c>
      <c r="D108" s="55" t="s">
        <v>98</v>
      </c>
      <c r="E108" s="54">
        <f>C108*25.5%</f>
        <v>2340995.1150000002</v>
      </c>
    </row>
    <row r="109" spans="1:5" ht="15.75" customHeight="1" x14ac:dyDescent="0.3">
      <c r="A109" s="91">
        <v>0.16500000000000001</v>
      </c>
      <c r="B109" s="54" t="s">
        <v>96</v>
      </c>
      <c r="C109" s="54">
        <f>C108*A109</f>
        <v>1514761.5450000002</v>
      </c>
      <c r="D109" s="56" t="s">
        <v>99</v>
      </c>
      <c r="E109" s="54">
        <f>C108*91%</f>
        <v>8354139.4300000006</v>
      </c>
    </row>
    <row r="110" spans="1:5" ht="15.75" customHeight="1" x14ac:dyDescent="0.3">
      <c r="B110" s="58"/>
      <c r="C110" s="58"/>
      <c r="D110" s="58"/>
      <c r="E110" s="58"/>
    </row>
    <row r="111" spans="1:5" ht="15.75" customHeight="1" x14ac:dyDescent="0.3">
      <c r="B111" s="92"/>
      <c r="C111" s="58"/>
      <c r="D111" s="92"/>
      <c r="E111" s="58"/>
    </row>
    <row r="112" spans="1:5" ht="15.75" customHeight="1" x14ac:dyDescent="0.3">
      <c r="A112" s="93">
        <v>1</v>
      </c>
      <c r="B112" s="92" t="s">
        <v>95</v>
      </c>
      <c r="C112" s="92"/>
      <c r="D112" s="92"/>
      <c r="E112" s="92"/>
    </row>
    <row r="113" spans="1:5" ht="15.75" customHeight="1" x14ac:dyDescent="0.3">
      <c r="A113" s="94">
        <v>0.16500000000000001</v>
      </c>
      <c r="B113" s="92" t="s">
        <v>96</v>
      </c>
      <c r="C113" s="92"/>
      <c r="D113" s="92"/>
      <c r="E113" s="92"/>
    </row>
    <row r="114" spans="1:5" ht="15.75" customHeight="1" x14ac:dyDescent="0.3">
      <c r="A114" s="93">
        <v>0.09</v>
      </c>
      <c r="B114" s="83" t="s">
        <v>100</v>
      </c>
      <c r="C114" s="95"/>
      <c r="D114" s="83"/>
      <c r="E114" s="95"/>
    </row>
    <row r="115" spans="1:5" ht="15.75" customHeight="1" x14ac:dyDescent="0.3">
      <c r="A115" s="93">
        <v>0.91</v>
      </c>
      <c r="B115" s="54" t="s">
        <v>99</v>
      </c>
      <c r="C115" s="54"/>
      <c r="D115" s="55"/>
      <c r="E115" s="54"/>
    </row>
    <row r="116" spans="1:5" ht="15.75" customHeight="1" x14ac:dyDescent="0.3">
      <c r="A116" s="73" t="s">
        <v>101</v>
      </c>
      <c r="B116" s="54"/>
      <c r="C116" s="54"/>
      <c r="D116" s="56"/>
      <c r="E116" s="54"/>
    </row>
    <row r="117" spans="1:5" ht="15.75" customHeight="1" x14ac:dyDescent="0.3"/>
    <row r="118" spans="1:5" ht="15.75" customHeight="1" x14ac:dyDescent="0.3"/>
    <row r="119" spans="1:5" ht="15.75" customHeight="1" x14ac:dyDescent="0.3"/>
    <row r="120" spans="1:5" ht="15.75" customHeight="1" x14ac:dyDescent="0.3"/>
    <row r="121" spans="1:5" ht="15.75" customHeight="1" x14ac:dyDescent="0.3"/>
    <row r="122" spans="1:5" ht="15.75" customHeight="1" x14ac:dyDescent="0.3"/>
    <row r="123" spans="1:5" ht="15.75" customHeight="1" x14ac:dyDescent="0.3"/>
    <row r="124" spans="1:5" ht="15.75" customHeight="1" x14ac:dyDescent="0.3"/>
    <row r="125" spans="1:5" ht="15.75" customHeight="1" x14ac:dyDescent="0.3"/>
    <row r="126" spans="1:5" ht="15.75" customHeight="1" x14ac:dyDescent="0.3">
      <c r="A126" s="90">
        <v>1</v>
      </c>
      <c r="C126" s="96"/>
      <c r="D126" s="97"/>
      <c r="E126" s="96"/>
    </row>
    <row r="127" spans="1:5" ht="15.75" customHeight="1" x14ac:dyDescent="0.3">
      <c r="A127" s="89">
        <v>0.16500000000000001</v>
      </c>
      <c r="C127" s="96"/>
      <c r="D127" s="97"/>
      <c r="E127" s="96"/>
    </row>
    <row r="128" spans="1:5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I43:J43"/>
    <mergeCell ref="B3:F3"/>
    <mergeCell ref="G3:K3"/>
    <mergeCell ref="B4:C4"/>
    <mergeCell ref="D4:E4"/>
    <mergeCell ref="B13:C13"/>
    <mergeCell ref="D13:E1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78" zoomScale="76" zoomScaleNormal="76" workbookViewId="0">
      <selection activeCell="E10" sqref="E10"/>
    </sheetView>
  </sheetViews>
  <sheetFormatPr defaultColWidth="11.1796875" defaultRowHeight="15" customHeight="1" x14ac:dyDescent="0.3"/>
  <cols>
    <col min="1" max="2" width="10.54296875" style="1" customWidth="1"/>
    <col min="3" max="3" width="32.81640625" style="1" customWidth="1"/>
    <col min="4" max="4" width="13.81640625" style="1" customWidth="1"/>
    <col min="5" max="5" width="16.08984375" style="1" customWidth="1"/>
    <col min="6" max="6" width="13.08984375" style="1" customWidth="1"/>
    <col min="7" max="26" width="10.54296875" style="1" customWidth="1"/>
    <col min="27" max="16384" width="11.1796875" style="1"/>
  </cols>
  <sheetData>
    <row r="1" spans="1:7" ht="15.75" customHeight="1" x14ac:dyDescent="0.3">
      <c r="A1" s="136" t="s">
        <v>8</v>
      </c>
      <c r="B1" s="36"/>
      <c r="C1" s="36"/>
      <c r="D1" s="36"/>
      <c r="E1" s="37"/>
    </row>
    <row r="2" spans="1:7" ht="15.75" customHeight="1" x14ac:dyDescent="0.3">
      <c r="A2" s="137"/>
      <c r="B2" s="137"/>
      <c r="C2" s="137"/>
      <c r="D2" s="137"/>
      <c r="E2" s="137"/>
    </row>
    <row r="3" spans="1:7" ht="15.75" customHeight="1" x14ac:dyDescent="0.3">
      <c r="A3" s="138" t="s">
        <v>9</v>
      </c>
      <c r="B3" s="139">
        <v>1</v>
      </c>
      <c r="C3" s="138" t="s">
        <v>10</v>
      </c>
      <c r="D3" s="139" t="str">
        <f>'LIBRO DIARIO'!I5</f>
        <v>Fondo Fijo</v>
      </c>
      <c r="E3" s="140"/>
      <c r="F3" s="6"/>
    </row>
    <row r="4" spans="1:7" ht="15.75" customHeight="1" thickBot="1" x14ac:dyDescent="0.35">
      <c r="A4" s="7" t="s">
        <v>5</v>
      </c>
      <c r="B4" s="8" t="s">
        <v>6</v>
      </c>
      <c r="C4" s="8" t="s">
        <v>11</v>
      </c>
      <c r="D4" s="8" t="s">
        <v>3</v>
      </c>
      <c r="E4" s="8" t="s">
        <v>4</v>
      </c>
      <c r="F4" s="9" t="s">
        <v>12</v>
      </c>
    </row>
    <row r="5" spans="1:7" ht="15.75" customHeight="1" x14ac:dyDescent="0.3">
      <c r="A5" s="10">
        <v>1</v>
      </c>
      <c r="B5" s="11">
        <f>'LIBRO DIARIO'!H5</f>
        <v>45413</v>
      </c>
      <c r="C5" s="10" t="str">
        <f>'LIBRO DIARIO'!I12</f>
        <v>APERTURA COMERCIAL EN FECHA</v>
      </c>
      <c r="D5" s="17">
        <f>'LIBRO DIARIO'!J5</f>
        <v>2500000</v>
      </c>
      <c r="E5" s="17"/>
      <c r="F5" s="17"/>
    </row>
    <row r="6" spans="1:7" ht="15.75" customHeight="1" x14ac:dyDescent="0.3">
      <c r="A6" s="4"/>
      <c r="B6" s="11"/>
      <c r="C6" s="4"/>
      <c r="D6" s="18"/>
      <c r="E6" s="18"/>
      <c r="F6" s="18"/>
    </row>
    <row r="7" spans="1:7" ht="15.75" customHeight="1" x14ac:dyDescent="0.3">
      <c r="A7" s="4"/>
      <c r="B7" s="5"/>
      <c r="C7" s="4"/>
      <c r="D7" s="18"/>
      <c r="E7" s="18"/>
      <c r="F7" s="18"/>
    </row>
    <row r="8" spans="1:7" ht="15.75" customHeight="1" x14ac:dyDescent="0.3">
      <c r="A8" s="4"/>
      <c r="B8" s="38" t="s">
        <v>106</v>
      </c>
      <c r="C8" s="19">
        <f>D5</f>
        <v>2500000</v>
      </c>
      <c r="D8" s="18"/>
      <c r="E8" s="18"/>
      <c r="F8" s="19"/>
      <c r="G8" s="3"/>
    </row>
    <row r="9" spans="1:7" ht="15.75" customHeight="1" x14ac:dyDescent="0.3">
      <c r="A9" s="4"/>
      <c r="B9" s="4"/>
      <c r="C9" s="4"/>
      <c r="D9" s="18"/>
      <c r="E9" s="18"/>
      <c r="F9" s="19"/>
      <c r="G9" s="3"/>
    </row>
    <row r="10" spans="1:7" ht="15.75" customHeight="1" x14ac:dyDescent="0.3">
      <c r="D10" s="141"/>
      <c r="E10" s="141"/>
      <c r="F10" s="141"/>
    </row>
    <row r="11" spans="1:7" ht="15.75" customHeight="1" x14ac:dyDescent="0.3">
      <c r="A11" s="138" t="s">
        <v>9</v>
      </c>
      <c r="B11" s="139">
        <v>2</v>
      </c>
      <c r="C11" s="138" t="s">
        <v>10</v>
      </c>
      <c r="D11" s="142" t="s">
        <v>34</v>
      </c>
      <c r="E11" s="143"/>
      <c r="F11" s="20"/>
    </row>
    <row r="12" spans="1:7" ht="15.75" customHeight="1" x14ac:dyDescent="0.3">
      <c r="A12" s="7" t="s">
        <v>5</v>
      </c>
      <c r="B12" s="8" t="s">
        <v>6</v>
      </c>
      <c r="C12" s="8" t="s">
        <v>11</v>
      </c>
      <c r="D12" s="21" t="s">
        <v>3</v>
      </c>
      <c r="E12" s="21" t="s">
        <v>4</v>
      </c>
      <c r="F12" s="22" t="s">
        <v>12</v>
      </c>
    </row>
    <row r="13" spans="1:7" ht="15.75" customHeight="1" x14ac:dyDescent="0.3">
      <c r="A13" s="10">
        <v>1</v>
      </c>
      <c r="B13" s="11">
        <f>B5</f>
        <v>45413</v>
      </c>
      <c r="C13" s="10" t="str">
        <f>C5</f>
        <v>APERTURA COMERCIAL EN FECHA</v>
      </c>
      <c r="D13" s="17">
        <v>450000000</v>
      </c>
      <c r="E13" s="17"/>
      <c r="F13" s="17">
        <f>D13</f>
        <v>450000000</v>
      </c>
    </row>
    <row r="14" spans="1:7" ht="15.75" customHeight="1" x14ac:dyDescent="0.3">
      <c r="A14" s="4">
        <v>2</v>
      </c>
      <c r="B14" s="5">
        <v>45414</v>
      </c>
      <c r="C14" s="4" t="s">
        <v>44</v>
      </c>
      <c r="D14" s="18"/>
      <c r="E14" s="18">
        <f>'LIBRO DIARIO'!K16</f>
        <v>2650000</v>
      </c>
      <c r="F14" s="18">
        <f>F13-E14</f>
        <v>447350000</v>
      </c>
    </row>
    <row r="15" spans="1:7" ht="15.75" customHeight="1" x14ac:dyDescent="0.3">
      <c r="A15" s="4">
        <v>3</v>
      </c>
      <c r="B15" s="5">
        <v>45415</v>
      </c>
      <c r="C15" s="4" t="s">
        <v>92</v>
      </c>
      <c r="D15" s="18"/>
      <c r="E15" s="18">
        <v>23500000</v>
      </c>
      <c r="F15" s="18">
        <f>F14-E15</f>
        <v>423850000</v>
      </c>
    </row>
    <row r="16" spans="1:7" ht="15.75" customHeight="1" x14ac:dyDescent="0.3">
      <c r="A16" s="15"/>
      <c r="B16" s="26">
        <v>45418</v>
      </c>
      <c r="C16" s="15" t="s">
        <v>93</v>
      </c>
      <c r="D16" s="25"/>
      <c r="E16" s="25">
        <f>'LIBRO DIARIO'!K27</f>
        <v>224500000</v>
      </c>
      <c r="F16" s="25">
        <f>F15-E16</f>
        <v>199350000</v>
      </c>
      <c r="G16" s="42"/>
    </row>
    <row r="17" spans="1:7" ht="15.75" customHeight="1" x14ac:dyDescent="0.3">
      <c r="A17" s="39"/>
      <c r="B17" s="40">
        <v>45420</v>
      </c>
      <c r="C17" s="39" t="s">
        <v>57</v>
      </c>
      <c r="D17" s="144">
        <f>'LIBRO DIARIO'!J30</f>
        <v>89520000</v>
      </c>
      <c r="E17" s="144"/>
      <c r="F17" s="144">
        <f>F16+D17</f>
        <v>288870000</v>
      </c>
      <c r="G17" s="42"/>
    </row>
    <row r="18" spans="1:7" ht="15.75" customHeight="1" x14ac:dyDescent="0.3">
      <c r="A18" s="39"/>
      <c r="B18" s="40">
        <v>45420</v>
      </c>
      <c r="C18" s="39" t="s">
        <v>93</v>
      </c>
      <c r="D18" s="144"/>
      <c r="E18" s="144">
        <f>'LIBRO DIARIO'!K42</f>
        <v>62000000</v>
      </c>
      <c r="F18" s="144">
        <f>F17-E18</f>
        <v>226870000</v>
      </c>
      <c r="G18" s="42"/>
    </row>
    <row r="19" spans="1:7" ht="15.75" customHeight="1" x14ac:dyDescent="0.3">
      <c r="A19" s="39"/>
      <c r="B19" s="40">
        <v>45420</v>
      </c>
      <c r="C19" s="39" t="s">
        <v>57</v>
      </c>
      <c r="D19" s="144">
        <f>'LIBRO DIARIO'!J45</f>
        <v>91700000</v>
      </c>
      <c r="E19" s="144"/>
      <c r="F19" s="144">
        <f>F18+D19</f>
        <v>318570000</v>
      </c>
      <c r="G19" s="42"/>
    </row>
    <row r="20" spans="1:7" ht="15.75" customHeight="1" x14ac:dyDescent="0.3">
      <c r="A20" s="39"/>
      <c r="B20" s="40">
        <v>45421</v>
      </c>
      <c r="C20" s="39" t="s">
        <v>94</v>
      </c>
      <c r="D20" s="144"/>
      <c r="E20" s="144">
        <v>500000</v>
      </c>
      <c r="F20" s="144">
        <f>F19-E20</f>
        <v>318070000</v>
      </c>
      <c r="G20" s="42"/>
    </row>
    <row r="21" spans="1:7" ht="15.75" customHeight="1" x14ac:dyDescent="0.3">
      <c r="A21" s="39"/>
      <c r="B21" s="40">
        <v>45424</v>
      </c>
      <c r="C21" s="39" t="str">
        <f>'LIBRO DIARIO'!I61</f>
        <v>COMPRA DE PRODUCTOS DE LIMPIEZA</v>
      </c>
      <c r="D21" s="144"/>
      <c r="E21" s="144">
        <v>1320000</v>
      </c>
      <c r="F21" s="144">
        <f>F20-E21</f>
        <v>316750000</v>
      </c>
      <c r="G21" s="42"/>
    </row>
    <row r="22" spans="1:7" ht="15.75" customHeight="1" x14ac:dyDescent="0.3">
      <c r="A22" s="39"/>
      <c r="B22" s="40">
        <v>45427</v>
      </c>
      <c r="C22" s="39" t="str">
        <f>'LIBRO DIARIO'!I66</f>
        <v>PAGO DE SERVICIOS DE INTERNET</v>
      </c>
      <c r="D22" s="144"/>
      <c r="E22" s="144">
        <v>980000</v>
      </c>
      <c r="F22" s="144">
        <f>F21-E22</f>
        <v>315770000</v>
      </c>
      <c r="G22" s="42"/>
    </row>
    <row r="23" spans="1:7" ht="15.75" customHeight="1" x14ac:dyDescent="0.3">
      <c r="A23" s="145"/>
      <c r="B23" s="146">
        <v>45432</v>
      </c>
      <c r="C23" s="145" t="str">
        <f>'LIBRO DIARIO'!I71</f>
        <v>PAGO AL CONTADOR POR TRAMITES</v>
      </c>
      <c r="D23" s="147"/>
      <c r="E23" s="147">
        <f>'LIBRO DIARIO'!K70</f>
        <v>5080000</v>
      </c>
      <c r="F23" s="147">
        <f>F22-E23</f>
        <v>310690000</v>
      </c>
      <c r="G23" s="42"/>
    </row>
    <row r="24" spans="1:7" ht="15.75" customHeight="1" x14ac:dyDescent="0.3">
      <c r="C24" s="27" t="s">
        <v>14</v>
      </c>
      <c r="D24" s="34">
        <f>SUM(D13:D23)</f>
        <v>631220000</v>
      </c>
      <c r="E24" s="34">
        <f>SUM(E13:E23)</f>
        <v>320530000</v>
      </c>
    </row>
    <row r="25" spans="1:7" ht="15.75" customHeight="1" x14ac:dyDescent="0.3">
      <c r="B25" s="42"/>
      <c r="C25" s="42"/>
      <c r="D25" s="42"/>
      <c r="E25" s="42"/>
      <c r="F25" s="42"/>
    </row>
    <row r="26" spans="1:7" ht="15.75" customHeight="1" thickBot="1" x14ac:dyDescent="0.35">
      <c r="A26" s="138" t="s">
        <v>9</v>
      </c>
      <c r="B26" s="139">
        <v>3</v>
      </c>
      <c r="C26" s="138" t="s">
        <v>10</v>
      </c>
      <c r="D26" s="142" t="s">
        <v>104</v>
      </c>
      <c r="E26" s="143"/>
      <c r="F26" s="20"/>
    </row>
    <row r="27" spans="1:7" ht="15.75" customHeight="1" thickBot="1" x14ac:dyDescent="0.35">
      <c r="A27" s="7" t="s">
        <v>5</v>
      </c>
      <c r="B27" s="8" t="s">
        <v>6</v>
      </c>
      <c r="C27" s="8" t="s">
        <v>11</v>
      </c>
      <c r="D27" s="21" t="s">
        <v>3</v>
      </c>
      <c r="E27" s="21" t="s">
        <v>4</v>
      </c>
      <c r="F27" s="22" t="s">
        <v>12</v>
      </c>
    </row>
    <row r="28" spans="1:7" ht="15.75" customHeight="1" x14ac:dyDescent="0.3">
      <c r="A28" s="10">
        <v>1</v>
      </c>
      <c r="B28" s="11">
        <f>B13</f>
        <v>45413</v>
      </c>
      <c r="C28" s="10" t="str">
        <f>'LIBRO DIARIO'!I12</f>
        <v>APERTURA COMERCIAL EN FECHA</v>
      </c>
      <c r="D28" s="17">
        <f>'LIBRO DIARIO'!J7</f>
        <v>100000000</v>
      </c>
      <c r="E28" s="17"/>
      <c r="F28" s="17">
        <f>D28</f>
        <v>100000000</v>
      </c>
    </row>
    <row r="29" spans="1:7" ht="15.75" customHeight="1" x14ac:dyDescent="0.3">
      <c r="A29" s="4"/>
      <c r="B29" s="4"/>
      <c r="C29" s="4"/>
      <c r="D29" s="18"/>
      <c r="E29" s="18"/>
      <c r="F29" s="18"/>
    </row>
    <row r="30" spans="1:7" ht="15.75" customHeight="1" x14ac:dyDescent="0.3">
      <c r="A30" s="4"/>
      <c r="B30" s="4"/>
      <c r="C30" s="15"/>
      <c r="D30" s="18"/>
      <c r="E30" s="18"/>
      <c r="F30" s="18"/>
    </row>
    <row r="31" spans="1:7" ht="15.75" customHeight="1" x14ac:dyDescent="0.3">
      <c r="A31" s="4"/>
      <c r="B31" s="35"/>
      <c r="C31" s="16" t="s">
        <v>14</v>
      </c>
      <c r="D31" s="148">
        <f>D28</f>
        <v>100000000</v>
      </c>
      <c r="E31" s="18"/>
      <c r="F31" s="18"/>
    </row>
    <row r="32" spans="1:7" ht="15.75" customHeight="1" x14ac:dyDescent="0.3">
      <c r="D32" s="141"/>
      <c r="E32" s="141"/>
      <c r="F32" s="141"/>
    </row>
    <row r="33" spans="1:7" ht="15.75" customHeight="1" x14ac:dyDescent="0.3">
      <c r="D33" s="141"/>
      <c r="E33" s="141"/>
      <c r="F33" s="141"/>
    </row>
    <row r="34" spans="1:7" ht="15.75" customHeight="1" thickBot="1" x14ac:dyDescent="0.35">
      <c r="A34" s="138" t="s">
        <v>9</v>
      </c>
      <c r="B34" s="139">
        <v>4</v>
      </c>
      <c r="C34" s="138" t="s">
        <v>10</v>
      </c>
      <c r="D34" s="142" t="s">
        <v>36</v>
      </c>
      <c r="E34" s="143"/>
      <c r="F34" s="20"/>
    </row>
    <row r="35" spans="1:7" ht="15.75" customHeight="1" thickBot="1" x14ac:dyDescent="0.35">
      <c r="A35" s="7" t="s">
        <v>5</v>
      </c>
      <c r="B35" s="8" t="s">
        <v>6</v>
      </c>
      <c r="C35" s="8" t="s">
        <v>11</v>
      </c>
      <c r="D35" s="21" t="s">
        <v>3</v>
      </c>
      <c r="E35" s="21" t="s">
        <v>4</v>
      </c>
      <c r="F35" s="22" t="s">
        <v>12</v>
      </c>
    </row>
    <row r="36" spans="1:7" ht="15.75" customHeight="1" x14ac:dyDescent="0.3">
      <c r="A36" s="12">
        <v>1</v>
      </c>
      <c r="B36" s="11">
        <f>B28</f>
        <v>45413</v>
      </c>
      <c r="C36" s="10" t="str">
        <f>'LIBRO DIARIO'!I12</f>
        <v>APERTURA COMERCIAL EN FECHA</v>
      </c>
      <c r="D36" s="17">
        <f>'LIBRO DIARIO'!J8</f>
        <v>1300000</v>
      </c>
      <c r="E36" s="17"/>
      <c r="F36" s="17">
        <f>D36</f>
        <v>1300000</v>
      </c>
    </row>
    <row r="37" spans="1:7" ht="15.75" customHeight="1" x14ac:dyDescent="0.3">
      <c r="A37" s="4">
        <v>5</v>
      </c>
      <c r="B37" s="5">
        <v>45416</v>
      </c>
      <c r="C37" s="4" t="str">
        <f>'LIBRO DIARIO'!I34</f>
        <v>VENTA DE MERCADERIAS</v>
      </c>
      <c r="D37" s="18">
        <f>'LIBRO DIARIO'!J31</f>
        <v>134280000</v>
      </c>
      <c r="E37" s="18"/>
      <c r="F37" s="18">
        <f>D37+D36</f>
        <v>135580000</v>
      </c>
    </row>
    <row r="38" spans="1:7" ht="15.75" customHeight="1" x14ac:dyDescent="0.3">
      <c r="A38" s="4"/>
      <c r="B38" s="4"/>
      <c r="C38" s="4"/>
      <c r="D38" s="18"/>
      <c r="E38" s="18"/>
      <c r="F38" s="18"/>
    </row>
    <row r="39" spans="1:7" ht="15.75" customHeight="1" x14ac:dyDescent="0.3">
      <c r="A39" s="4"/>
      <c r="B39" s="4"/>
      <c r="C39" s="2" t="s">
        <v>14</v>
      </c>
      <c r="D39" s="19">
        <f>SUM(D36:D38)</f>
        <v>135580000</v>
      </c>
      <c r="E39" s="18"/>
      <c r="F39" s="18"/>
    </row>
    <row r="40" spans="1:7" ht="15.75" customHeight="1" x14ac:dyDescent="0.3">
      <c r="C40" s="42"/>
      <c r="D40" s="141"/>
      <c r="E40" s="141"/>
      <c r="F40" s="141"/>
      <c r="G40" s="3"/>
    </row>
    <row r="41" spans="1:7" ht="15.75" customHeight="1" x14ac:dyDescent="0.3">
      <c r="D41" s="141"/>
      <c r="E41" s="141"/>
      <c r="F41" s="141"/>
      <c r="G41" s="3"/>
    </row>
    <row r="42" spans="1:7" ht="15.75" customHeight="1" thickBot="1" x14ac:dyDescent="0.35">
      <c r="A42" s="138" t="s">
        <v>9</v>
      </c>
      <c r="B42" s="139">
        <v>5</v>
      </c>
      <c r="C42" s="138" t="s">
        <v>10</v>
      </c>
      <c r="D42" s="142" t="s">
        <v>31</v>
      </c>
      <c r="E42" s="143"/>
      <c r="F42" s="20"/>
    </row>
    <row r="43" spans="1:7" ht="15.75" customHeight="1" thickBot="1" x14ac:dyDescent="0.35">
      <c r="A43" s="7" t="s">
        <v>5</v>
      </c>
      <c r="B43" s="8" t="s">
        <v>6</v>
      </c>
      <c r="C43" s="8" t="s">
        <v>11</v>
      </c>
      <c r="D43" s="21" t="s">
        <v>3</v>
      </c>
      <c r="E43" s="21" t="s">
        <v>4</v>
      </c>
      <c r="F43" s="22" t="s">
        <v>12</v>
      </c>
    </row>
    <row r="44" spans="1:7" ht="15.75" customHeight="1" x14ac:dyDescent="0.3">
      <c r="A44" s="10">
        <v>1</v>
      </c>
      <c r="B44" s="11">
        <f>B36</f>
        <v>45413</v>
      </c>
      <c r="C44" s="10" t="str">
        <f>C36</f>
        <v>APERTURA COMERCIAL EN FECHA</v>
      </c>
      <c r="D44" s="17"/>
      <c r="E44" s="17">
        <f>'LIBRO DIARIO'!K9</f>
        <v>200000000</v>
      </c>
      <c r="F44" s="17">
        <f>E44</f>
        <v>200000000</v>
      </c>
    </row>
    <row r="45" spans="1:7" ht="15.75" customHeight="1" x14ac:dyDescent="0.3">
      <c r="A45" s="4"/>
      <c r="B45" s="5"/>
      <c r="C45" s="4"/>
      <c r="D45" s="18"/>
      <c r="E45" s="18"/>
      <c r="F45" s="18"/>
    </row>
    <row r="46" spans="1:7" ht="15.75" customHeight="1" x14ac:dyDescent="0.3">
      <c r="A46" s="4"/>
      <c r="B46" s="5"/>
      <c r="C46" s="4"/>
      <c r="D46" s="18"/>
      <c r="E46" s="18"/>
      <c r="F46" s="18"/>
    </row>
    <row r="47" spans="1:7" ht="15.75" customHeight="1" x14ac:dyDescent="0.3">
      <c r="A47" s="4"/>
      <c r="B47" s="5"/>
      <c r="C47" s="2" t="s">
        <v>14</v>
      </c>
      <c r="D47" s="19"/>
      <c r="E47" s="19">
        <f>E44</f>
        <v>200000000</v>
      </c>
      <c r="F47" s="19"/>
    </row>
    <row r="48" spans="1:7" ht="15.75" customHeight="1" x14ac:dyDescent="0.3">
      <c r="D48" s="23"/>
      <c r="E48" s="141"/>
      <c r="F48" s="24"/>
    </row>
    <row r="49" spans="1:6" ht="15.75" customHeight="1" x14ac:dyDescent="0.3">
      <c r="D49" s="141"/>
      <c r="E49" s="141"/>
      <c r="F49" s="141"/>
    </row>
    <row r="50" spans="1:6" ht="15.75" customHeight="1" thickBot="1" x14ac:dyDescent="0.35">
      <c r="A50" s="138" t="s">
        <v>9</v>
      </c>
      <c r="B50" s="139">
        <v>6</v>
      </c>
      <c r="C50" s="138" t="s">
        <v>10</v>
      </c>
      <c r="D50" s="142" t="s">
        <v>37</v>
      </c>
      <c r="E50" s="143"/>
      <c r="F50" s="20"/>
    </row>
    <row r="51" spans="1:6" ht="15.75" customHeight="1" thickBot="1" x14ac:dyDescent="0.35">
      <c r="A51" s="7" t="s">
        <v>5</v>
      </c>
      <c r="B51" s="8" t="s">
        <v>6</v>
      </c>
      <c r="C51" s="8" t="s">
        <v>11</v>
      </c>
      <c r="D51" s="21" t="s">
        <v>3</v>
      </c>
      <c r="E51" s="21" t="s">
        <v>4</v>
      </c>
      <c r="F51" s="22" t="s">
        <v>12</v>
      </c>
    </row>
    <row r="52" spans="1:6" ht="15.75" customHeight="1" x14ac:dyDescent="0.3">
      <c r="A52" s="10">
        <v>1</v>
      </c>
      <c r="B52" s="11">
        <f>B44</f>
        <v>45413</v>
      </c>
      <c r="C52" s="10" t="str">
        <f>C44</f>
        <v>APERTURA COMERCIAL EN FECHA</v>
      </c>
      <c r="D52" s="17"/>
      <c r="E52" s="17">
        <f>'LIBRO DIARIO'!K10</f>
        <v>12328767.12328767</v>
      </c>
      <c r="F52" s="17">
        <f>E52</f>
        <v>12328767.12328767</v>
      </c>
    </row>
    <row r="53" spans="1:6" ht="15.75" customHeight="1" x14ac:dyDescent="0.3">
      <c r="A53" s="4"/>
      <c r="B53" s="5"/>
      <c r="C53" s="4"/>
      <c r="D53" s="18"/>
      <c r="E53" s="18"/>
      <c r="F53" s="19"/>
    </row>
    <row r="54" spans="1:6" ht="15.75" customHeight="1" x14ac:dyDescent="0.3">
      <c r="A54" s="4"/>
      <c r="B54" s="4"/>
      <c r="C54" s="4"/>
      <c r="D54" s="18"/>
      <c r="E54" s="18"/>
      <c r="F54" s="19"/>
    </row>
    <row r="55" spans="1:6" ht="15.75" customHeight="1" x14ac:dyDescent="0.3">
      <c r="A55" s="4"/>
      <c r="B55" s="4"/>
      <c r="C55" s="2" t="s">
        <v>14</v>
      </c>
      <c r="D55" s="19"/>
      <c r="E55" s="149">
        <f>E52</f>
        <v>12328767.12328767</v>
      </c>
      <c r="F55" s="18"/>
    </row>
    <row r="56" spans="1:6" ht="15.75" customHeight="1" x14ac:dyDescent="0.3">
      <c r="D56" s="141"/>
      <c r="E56" s="141"/>
      <c r="F56" s="141"/>
    </row>
    <row r="57" spans="1:6" ht="15.75" customHeight="1" x14ac:dyDescent="0.3">
      <c r="D57" s="141"/>
      <c r="E57" s="141"/>
      <c r="F57" s="141"/>
    </row>
    <row r="58" spans="1:6" ht="15.75" customHeight="1" thickBot="1" x14ac:dyDescent="0.35">
      <c r="A58" s="138" t="s">
        <v>9</v>
      </c>
      <c r="B58" s="139">
        <v>7</v>
      </c>
      <c r="C58" s="138" t="s">
        <v>10</v>
      </c>
      <c r="D58" s="142" t="s">
        <v>40</v>
      </c>
      <c r="E58" s="143"/>
      <c r="F58" s="20"/>
    </row>
    <row r="59" spans="1:6" ht="15.75" customHeight="1" thickBot="1" x14ac:dyDescent="0.35">
      <c r="A59" s="7" t="s">
        <v>5</v>
      </c>
      <c r="B59" s="8" t="s">
        <v>6</v>
      </c>
      <c r="C59" s="8" t="s">
        <v>11</v>
      </c>
      <c r="D59" s="21" t="s">
        <v>3</v>
      </c>
      <c r="E59" s="21" t="s">
        <v>4</v>
      </c>
      <c r="F59" s="22" t="s">
        <v>12</v>
      </c>
    </row>
    <row r="60" spans="1:6" ht="15.75" customHeight="1" x14ac:dyDescent="0.3">
      <c r="A60" s="10">
        <v>1</v>
      </c>
      <c r="B60" s="11">
        <f>B52</f>
        <v>45413</v>
      </c>
      <c r="C60" s="10" t="str">
        <f>C52</f>
        <v>APERTURA COMERCIAL EN FECHA</v>
      </c>
      <c r="D60" s="17"/>
      <c r="E60" s="17">
        <f>'LIBRO DIARIO'!K11</f>
        <v>341471232.87671232</v>
      </c>
      <c r="F60" s="17">
        <f>E60</f>
        <v>341471232.87671232</v>
      </c>
    </row>
    <row r="61" spans="1:6" ht="15.75" customHeight="1" x14ac:dyDescent="0.3">
      <c r="A61" s="4"/>
      <c r="B61" s="4"/>
      <c r="C61" s="4"/>
      <c r="D61" s="18"/>
      <c r="E61" s="18"/>
      <c r="F61" s="18"/>
    </row>
    <row r="62" spans="1:6" ht="15.75" customHeight="1" x14ac:dyDescent="0.3">
      <c r="A62" s="4"/>
      <c r="B62" s="4"/>
      <c r="C62" s="4"/>
      <c r="D62" s="18"/>
      <c r="E62" s="18"/>
      <c r="F62" s="18"/>
    </row>
    <row r="63" spans="1:6" ht="15.75" customHeight="1" x14ac:dyDescent="0.3">
      <c r="A63" s="4"/>
      <c r="B63" s="4"/>
      <c r="C63" s="2" t="s">
        <v>14</v>
      </c>
      <c r="D63" s="18"/>
      <c r="E63" s="19">
        <f>E60</f>
        <v>341471232.87671232</v>
      </c>
      <c r="F63" s="18"/>
    </row>
    <row r="64" spans="1:6" ht="15.75" customHeight="1" x14ac:dyDescent="0.3">
      <c r="D64" s="141"/>
      <c r="E64" s="141"/>
      <c r="F64" s="141"/>
    </row>
    <row r="65" spans="1:7" ht="15.75" customHeight="1" x14ac:dyDescent="0.3">
      <c r="D65" s="141"/>
      <c r="E65" s="141"/>
      <c r="F65" s="141"/>
    </row>
    <row r="66" spans="1:7" ht="15.75" customHeight="1" thickBot="1" x14ac:dyDescent="0.35">
      <c r="A66" s="138" t="s">
        <v>9</v>
      </c>
      <c r="B66" s="139">
        <v>8</v>
      </c>
      <c r="C66" s="138" t="s">
        <v>10</v>
      </c>
      <c r="D66" s="142" t="s">
        <v>41</v>
      </c>
      <c r="E66" s="143"/>
      <c r="F66" s="20"/>
    </row>
    <row r="67" spans="1:7" ht="15.75" customHeight="1" thickBot="1" x14ac:dyDescent="0.35">
      <c r="A67" s="7" t="s">
        <v>5</v>
      </c>
      <c r="B67" s="8" t="s">
        <v>6</v>
      </c>
      <c r="C67" s="8" t="s">
        <v>11</v>
      </c>
      <c r="D67" s="21" t="s">
        <v>3</v>
      </c>
      <c r="E67" s="21" t="s">
        <v>4</v>
      </c>
      <c r="F67" s="22" t="s">
        <v>12</v>
      </c>
    </row>
    <row r="68" spans="1:7" ht="15.75" customHeight="1" x14ac:dyDescent="0.3">
      <c r="A68" s="10">
        <v>2</v>
      </c>
      <c r="B68" s="11">
        <v>45414</v>
      </c>
      <c r="C68" s="10" t="str">
        <f>'LIBRO DIARIO'!I17</f>
        <v>Compra de Mobiliarios</v>
      </c>
      <c r="D68" s="17">
        <f>'LIBRO DIARIO'!J14</f>
        <v>2409090.9090909087</v>
      </c>
      <c r="E68" s="17"/>
      <c r="F68" s="17">
        <f>D68</f>
        <v>2409090.9090909087</v>
      </c>
    </row>
    <row r="69" spans="1:7" ht="15.75" customHeight="1" x14ac:dyDescent="0.3">
      <c r="A69" s="4"/>
      <c r="B69" s="4"/>
      <c r="C69" s="4"/>
      <c r="D69" s="18"/>
      <c r="E69" s="18"/>
      <c r="F69" s="18"/>
    </row>
    <row r="70" spans="1:7" ht="15.75" customHeight="1" x14ac:dyDescent="0.3">
      <c r="A70" s="4"/>
      <c r="B70" s="4"/>
      <c r="C70" s="4"/>
      <c r="D70" s="18"/>
      <c r="E70" s="18"/>
      <c r="F70" s="18"/>
    </row>
    <row r="71" spans="1:7" ht="15.75" customHeight="1" x14ac:dyDescent="0.3">
      <c r="A71" s="4"/>
      <c r="B71" s="4"/>
      <c r="C71" s="2" t="s">
        <v>14</v>
      </c>
      <c r="D71" s="19">
        <f>D68</f>
        <v>2409090.9090909087</v>
      </c>
      <c r="E71" s="18"/>
      <c r="F71" s="18"/>
    </row>
    <row r="72" spans="1:7" ht="15.75" customHeight="1" x14ac:dyDescent="0.3">
      <c r="D72" s="141"/>
      <c r="E72" s="141"/>
      <c r="F72" s="141"/>
    </row>
    <row r="73" spans="1:7" ht="15.75" customHeight="1" x14ac:dyDescent="0.3">
      <c r="D73" s="141"/>
      <c r="E73" s="141"/>
      <c r="F73" s="141"/>
    </row>
    <row r="74" spans="1:7" ht="15.75" customHeight="1" thickBot="1" x14ac:dyDescent="0.35">
      <c r="A74" s="138" t="s">
        <v>9</v>
      </c>
      <c r="B74" s="139">
        <v>9</v>
      </c>
      <c r="C74" s="138" t="s">
        <v>10</v>
      </c>
      <c r="D74" s="142" t="s">
        <v>42</v>
      </c>
      <c r="E74" s="143"/>
      <c r="F74" s="20"/>
    </row>
    <row r="75" spans="1:7" ht="15.75" customHeight="1" thickBot="1" x14ac:dyDescent="0.35">
      <c r="A75" s="7" t="s">
        <v>5</v>
      </c>
      <c r="B75" s="8" t="s">
        <v>6</v>
      </c>
      <c r="C75" s="8" t="s">
        <v>11</v>
      </c>
      <c r="D75" s="21" t="s">
        <v>3</v>
      </c>
      <c r="E75" s="21" t="s">
        <v>4</v>
      </c>
      <c r="F75" s="22" t="s">
        <v>12</v>
      </c>
    </row>
    <row r="76" spans="1:7" ht="15.75" customHeight="1" x14ac:dyDescent="0.3">
      <c r="A76" s="10">
        <v>2</v>
      </c>
      <c r="B76" s="11">
        <f>B68</f>
        <v>45414</v>
      </c>
      <c r="C76" s="10" t="str">
        <f>C68</f>
        <v>Compra de Mobiliarios</v>
      </c>
      <c r="D76" s="29">
        <f>'LIBRO DIARIO'!J15</f>
        <v>240909.09090909091</v>
      </c>
      <c r="E76" s="29"/>
      <c r="F76" s="29">
        <f>D76</f>
        <v>240909.09090909091</v>
      </c>
    </row>
    <row r="77" spans="1:7" ht="15.75" customHeight="1" x14ac:dyDescent="0.3">
      <c r="A77" s="4">
        <v>3</v>
      </c>
      <c r="B77" s="5">
        <v>45415</v>
      </c>
      <c r="C77" s="4" t="str">
        <f>'LIBRO DIARIO'!I23</f>
        <v>COMPRA DE CAMIONETA</v>
      </c>
      <c r="D77" s="28">
        <f>'LIBRO DIARIO'!J20</f>
        <v>4272727.2727272725</v>
      </c>
      <c r="E77" s="28"/>
      <c r="F77" s="28">
        <f t="shared" ref="F77:F82" si="0">F76+D77</f>
        <v>4513636.3636363633</v>
      </c>
    </row>
    <row r="78" spans="1:7" ht="15.75" customHeight="1" x14ac:dyDescent="0.3">
      <c r="A78" s="4">
        <v>4</v>
      </c>
      <c r="B78" s="5">
        <v>45416</v>
      </c>
      <c r="C78" s="4" t="str">
        <f>'LIBRO DIARIO'!I28</f>
        <v>COMPRA DE MERCADERIAS</v>
      </c>
      <c r="D78" s="28">
        <f>'LIBRO DIARIO'!J26</f>
        <v>20409090.90909091</v>
      </c>
      <c r="E78" s="28"/>
      <c r="F78" s="28">
        <f t="shared" si="0"/>
        <v>24922727.272727273</v>
      </c>
    </row>
    <row r="79" spans="1:7" ht="15.75" customHeight="1" x14ac:dyDescent="0.3">
      <c r="A79" s="15">
        <v>7</v>
      </c>
      <c r="B79" s="26">
        <v>45420</v>
      </c>
      <c r="C79" s="15" t="str">
        <f>C78</f>
        <v>COMPRA DE MERCADERIAS</v>
      </c>
      <c r="D79" s="30">
        <f>'LIBRO DIARIO'!J41</f>
        <v>5636363.6363636367</v>
      </c>
      <c r="E79" s="30"/>
      <c r="F79" s="30">
        <f t="shared" si="0"/>
        <v>30559090.90909091</v>
      </c>
      <c r="G79" s="42"/>
    </row>
    <row r="80" spans="1:7" ht="15.75" customHeight="1" x14ac:dyDescent="0.3">
      <c r="A80" s="39">
        <v>12</v>
      </c>
      <c r="B80" s="40">
        <v>45424</v>
      </c>
      <c r="C80" s="39" t="str">
        <f>'LIBRO DIARIO'!I61</f>
        <v>COMPRA DE PRODUCTOS DE LIMPIEZA</v>
      </c>
      <c r="D80" s="150">
        <f>'LIBRO DIARIO'!J59</f>
        <v>120000</v>
      </c>
      <c r="E80" s="150"/>
      <c r="F80" s="150">
        <f t="shared" si="0"/>
        <v>30679090.90909091</v>
      </c>
      <c r="G80" s="42"/>
    </row>
    <row r="81" spans="1:7" ht="15.75" customHeight="1" x14ac:dyDescent="0.3">
      <c r="A81" s="39">
        <v>13</v>
      </c>
      <c r="B81" s="40">
        <v>45427</v>
      </c>
      <c r="C81" s="39" t="str">
        <f>'LIBRO DIARIO'!I66</f>
        <v>PAGO DE SERVICIOS DE INTERNET</v>
      </c>
      <c r="D81" s="150">
        <f>'LIBRO DIARIO'!J64</f>
        <v>89090.909090909088</v>
      </c>
      <c r="E81" s="150"/>
      <c r="F81" s="150">
        <f t="shared" si="0"/>
        <v>30768181.81818182</v>
      </c>
      <c r="G81" s="42"/>
    </row>
    <row r="82" spans="1:7" ht="15.75" customHeight="1" x14ac:dyDescent="0.3">
      <c r="A82" s="39">
        <v>14</v>
      </c>
      <c r="B82" s="40">
        <v>45432</v>
      </c>
      <c r="C82" s="39" t="str">
        <f>'LIBRO DIARIO'!I71</f>
        <v>PAGO AL CONTADOR POR TRAMITES</v>
      </c>
      <c r="D82" s="150">
        <f>'LIBRO DIARIO'!J69</f>
        <v>461818.18181818182</v>
      </c>
      <c r="E82" s="150"/>
      <c r="F82" s="150">
        <f t="shared" si="0"/>
        <v>31230000.000000004</v>
      </c>
      <c r="G82" s="42"/>
    </row>
    <row r="83" spans="1:7" ht="15.75" customHeight="1" x14ac:dyDescent="0.3">
      <c r="C83" s="27" t="s">
        <v>14</v>
      </c>
      <c r="D83" s="14">
        <f>SUM(D76:D82)</f>
        <v>31230000.000000004</v>
      </c>
      <c r="E83" s="13"/>
      <c r="F83" s="13"/>
    </row>
    <row r="84" spans="1:7" ht="15.75" customHeight="1" x14ac:dyDescent="0.3">
      <c r="D84" s="13"/>
      <c r="E84" s="13"/>
      <c r="F84" s="13"/>
    </row>
    <row r="85" spans="1:7" ht="15.75" customHeight="1" x14ac:dyDescent="0.3">
      <c r="D85" s="13"/>
      <c r="E85" s="13"/>
      <c r="F85" s="13"/>
    </row>
    <row r="86" spans="1:7" ht="15.75" customHeight="1" x14ac:dyDescent="0.3">
      <c r="D86" s="13"/>
      <c r="E86" s="13"/>
      <c r="F86" s="13"/>
    </row>
    <row r="87" spans="1:7" ht="15.75" customHeight="1" thickBot="1" x14ac:dyDescent="0.35">
      <c r="A87" s="138" t="s">
        <v>9</v>
      </c>
      <c r="B87" s="139">
        <v>10</v>
      </c>
      <c r="C87" s="138" t="s">
        <v>10</v>
      </c>
      <c r="D87" s="151" t="s">
        <v>45</v>
      </c>
      <c r="E87" s="152"/>
      <c r="F87" s="31"/>
    </row>
    <row r="88" spans="1:7" ht="15.75" customHeight="1" thickBot="1" x14ac:dyDescent="0.35">
      <c r="A88" s="7" t="s">
        <v>5</v>
      </c>
      <c r="B88" s="8" t="s">
        <v>6</v>
      </c>
      <c r="C88" s="8" t="s">
        <v>11</v>
      </c>
      <c r="D88" s="32" t="s">
        <v>3</v>
      </c>
      <c r="E88" s="32" t="s">
        <v>4</v>
      </c>
      <c r="F88" s="33" t="s">
        <v>12</v>
      </c>
    </row>
    <row r="89" spans="1:7" ht="15.75" customHeight="1" x14ac:dyDescent="0.3">
      <c r="A89" s="10">
        <v>3</v>
      </c>
      <c r="B89" s="11">
        <v>45415</v>
      </c>
      <c r="C89" s="10" t="str">
        <f>'LIBRO DIARIO'!I23</f>
        <v>COMPRA DE CAMIONETA</v>
      </c>
      <c r="D89" s="29">
        <f>'LIBRO DIARIO'!J19</f>
        <v>42727272.727272727</v>
      </c>
      <c r="E89" s="29"/>
      <c r="F89" s="29">
        <f>D89</f>
        <v>42727272.727272727</v>
      </c>
    </row>
    <row r="90" spans="1:7" ht="15.75" customHeight="1" x14ac:dyDescent="0.3">
      <c r="A90" s="4"/>
      <c r="B90" s="4"/>
      <c r="C90" s="4"/>
      <c r="D90" s="28"/>
      <c r="E90" s="28"/>
      <c r="F90" s="28"/>
    </row>
    <row r="91" spans="1:7" ht="15.75" customHeight="1" x14ac:dyDescent="0.3">
      <c r="A91" s="4"/>
      <c r="B91" s="4"/>
      <c r="C91" s="4"/>
      <c r="D91" s="28"/>
      <c r="E91" s="28"/>
      <c r="F91" s="28"/>
    </row>
    <row r="92" spans="1:7" ht="15.75" customHeight="1" x14ac:dyDescent="0.3">
      <c r="A92" s="4"/>
      <c r="B92" s="4"/>
      <c r="C92" s="27" t="s">
        <v>14</v>
      </c>
      <c r="D92" s="41">
        <f>D89</f>
        <v>42727272.727272727</v>
      </c>
      <c r="E92" s="28"/>
      <c r="F92" s="28"/>
    </row>
    <row r="93" spans="1:7" ht="15.75" customHeight="1" x14ac:dyDescent="0.3">
      <c r="D93" s="13"/>
      <c r="E93" s="13"/>
      <c r="F93" s="13"/>
    </row>
    <row r="94" spans="1:7" ht="15.75" customHeight="1" x14ac:dyDescent="0.3">
      <c r="D94" s="13"/>
      <c r="E94" s="13"/>
      <c r="F94" s="13"/>
    </row>
    <row r="95" spans="1:7" ht="15.75" customHeight="1" thickBot="1" x14ac:dyDescent="0.35">
      <c r="A95" s="138" t="s">
        <v>9</v>
      </c>
      <c r="B95" s="139">
        <v>11</v>
      </c>
      <c r="C95" s="138" t="s">
        <v>10</v>
      </c>
      <c r="D95" s="151" t="s">
        <v>49</v>
      </c>
      <c r="E95" s="152"/>
      <c r="F95" s="31"/>
    </row>
    <row r="96" spans="1:7" ht="15.75" customHeight="1" thickBot="1" x14ac:dyDescent="0.35">
      <c r="A96" s="7" t="s">
        <v>5</v>
      </c>
      <c r="B96" s="8" t="s">
        <v>6</v>
      </c>
      <c r="C96" s="8" t="s">
        <v>11</v>
      </c>
      <c r="D96" s="32" t="s">
        <v>3</v>
      </c>
      <c r="E96" s="32" t="s">
        <v>4</v>
      </c>
      <c r="F96" s="33" t="s">
        <v>12</v>
      </c>
    </row>
    <row r="97" spans="1:7" ht="15.75" customHeight="1" x14ac:dyDescent="0.3">
      <c r="A97" s="10">
        <v>3</v>
      </c>
      <c r="B97" s="11">
        <v>45415</v>
      </c>
      <c r="C97" s="10" t="str">
        <f>'LIBRO DIARIO'!I23</f>
        <v>COMPRA DE CAMIONETA</v>
      </c>
      <c r="D97" s="29"/>
      <c r="E97" s="29">
        <f>'LIBRO DIARIO'!K22</f>
        <v>23500000</v>
      </c>
      <c r="F97" s="29">
        <f>E97</f>
        <v>23500000</v>
      </c>
    </row>
    <row r="98" spans="1:7" ht="15.75" customHeight="1" x14ac:dyDescent="0.3">
      <c r="A98" s="4"/>
      <c r="B98" s="4"/>
      <c r="C98" s="4"/>
      <c r="D98" s="28"/>
      <c r="E98" s="28"/>
      <c r="F98" s="28"/>
    </row>
    <row r="99" spans="1:7" ht="15.75" customHeight="1" x14ac:dyDescent="0.3">
      <c r="A99" s="4"/>
      <c r="B99" s="4"/>
      <c r="C99" s="4"/>
      <c r="D99" s="28"/>
      <c r="E99" s="28"/>
      <c r="F99" s="28"/>
    </row>
    <row r="100" spans="1:7" ht="15.75" customHeight="1" x14ac:dyDescent="0.3">
      <c r="A100" s="4"/>
      <c r="B100" s="4"/>
      <c r="C100" s="2" t="s">
        <v>14</v>
      </c>
      <c r="D100" s="41"/>
      <c r="E100" s="41">
        <f>E97</f>
        <v>23500000</v>
      </c>
      <c r="F100" s="28"/>
    </row>
    <row r="101" spans="1:7" ht="15.75" customHeight="1" x14ac:dyDescent="0.3">
      <c r="D101" s="13"/>
      <c r="E101" s="13"/>
      <c r="F101" s="13"/>
    </row>
    <row r="102" spans="1:7" ht="15.75" customHeight="1" x14ac:dyDescent="0.3">
      <c r="D102" s="13"/>
      <c r="E102" s="13"/>
      <c r="F102" s="13"/>
    </row>
    <row r="103" spans="1:7" ht="15.75" customHeight="1" x14ac:dyDescent="0.3">
      <c r="D103" s="13"/>
      <c r="E103" s="13"/>
      <c r="F103" s="13"/>
    </row>
    <row r="104" spans="1:7" ht="15.75" customHeight="1" thickBot="1" x14ac:dyDescent="0.35">
      <c r="A104" s="138" t="s">
        <v>9</v>
      </c>
      <c r="B104" s="139">
        <v>12</v>
      </c>
      <c r="C104" s="138" t="s">
        <v>10</v>
      </c>
      <c r="D104" s="151" t="s">
        <v>51</v>
      </c>
      <c r="E104" s="152"/>
      <c r="F104" s="31"/>
    </row>
    <row r="105" spans="1:7" ht="15.75" customHeight="1" thickBot="1" x14ac:dyDescent="0.35">
      <c r="A105" s="7" t="s">
        <v>5</v>
      </c>
      <c r="B105" s="8" t="s">
        <v>6</v>
      </c>
      <c r="C105" s="8" t="s">
        <v>11</v>
      </c>
      <c r="D105" s="32" t="s">
        <v>3</v>
      </c>
      <c r="E105" s="32" t="s">
        <v>4</v>
      </c>
      <c r="F105" s="33" t="s">
        <v>12</v>
      </c>
    </row>
    <row r="106" spans="1:7" ht="15.75" customHeight="1" x14ac:dyDescent="0.3">
      <c r="A106" s="10">
        <v>4</v>
      </c>
      <c r="B106" s="11">
        <v>45416</v>
      </c>
      <c r="C106" s="10" t="str">
        <f>'LIBRO DIARIO'!I28</f>
        <v>COMPRA DE MERCADERIAS</v>
      </c>
      <c r="D106" s="29">
        <f>'LIBRO DIARIO'!J25</f>
        <v>204090909.09090906</v>
      </c>
      <c r="E106" s="29"/>
      <c r="F106" s="29">
        <f>D106-E106</f>
        <v>204090909.09090906</v>
      </c>
    </row>
    <row r="107" spans="1:7" ht="15.75" customHeight="1" x14ac:dyDescent="0.3">
      <c r="A107" s="4">
        <v>6</v>
      </c>
      <c r="B107" s="5">
        <v>45418</v>
      </c>
      <c r="C107" s="4" t="str">
        <f>'LIBRO DIARIO'!I38</f>
        <v>COSTEO SEGUN FICHA DE DEPOSITO</v>
      </c>
      <c r="D107" s="28"/>
      <c r="E107" s="28">
        <f>'LIBRO DIARIO'!K37</f>
        <v>172909090.90909091</v>
      </c>
      <c r="F107" s="28">
        <f>F106-E107</f>
        <v>31181818.181818157</v>
      </c>
    </row>
    <row r="108" spans="1:7" ht="15.75" customHeight="1" x14ac:dyDescent="0.3">
      <c r="A108" s="4">
        <v>7</v>
      </c>
      <c r="B108" s="5">
        <v>45420</v>
      </c>
      <c r="C108" s="4" t="s">
        <v>70</v>
      </c>
      <c r="D108" s="28">
        <f>'LIBRO DIARIO'!J40</f>
        <v>56363636.36363636</v>
      </c>
      <c r="E108" s="28"/>
      <c r="F108" s="28">
        <f>F107+D108</f>
        <v>87545454.545454517</v>
      </c>
    </row>
    <row r="109" spans="1:7" ht="15.75" customHeight="1" x14ac:dyDescent="0.3">
      <c r="A109" s="4">
        <v>10</v>
      </c>
      <c r="B109" s="5">
        <v>45420</v>
      </c>
      <c r="C109" s="4" t="str">
        <f>'LIBRO DIARIO'!I52</f>
        <v>COSTEO SEGÚN FICHA DE DEPOSITO</v>
      </c>
      <c r="D109" s="28"/>
      <c r="E109" s="28">
        <f>'LIBRO DIARIO'!K51</f>
        <v>69818181.818181813</v>
      </c>
      <c r="F109" s="28">
        <f>F108-E109</f>
        <v>17727272.727272704</v>
      </c>
      <c r="G109" s="42"/>
    </row>
    <row r="110" spans="1:7" ht="15.75" customHeight="1" x14ac:dyDescent="0.3">
      <c r="C110" s="27" t="s">
        <v>14</v>
      </c>
      <c r="D110" s="14">
        <f>SUM(D106:D109)</f>
        <v>260454545.45454544</v>
      </c>
      <c r="E110" s="14">
        <f>SUM(E106:E109)</f>
        <v>242727272.72727272</v>
      </c>
      <c r="F110" s="13"/>
    </row>
    <row r="111" spans="1:7" ht="15.75" customHeight="1" x14ac:dyDescent="0.3"/>
    <row r="112" spans="1:7" ht="15.75" customHeight="1" x14ac:dyDescent="0.3"/>
    <row r="113" spans="1:6" ht="15.75" customHeight="1" thickBot="1" x14ac:dyDescent="0.35">
      <c r="A113" s="138" t="s">
        <v>9</v>
      </c>
      <c r="B113" s="139">
        <v>13</v>
      </c>
      <c r="C113" s="138" t="s">
        <v>10</v>
      </c>
      <c r="D113" s="151" t="s">
        <v>57</v>
      </c>
      <c r="E113" s="152"/>
      <c r="F113" s="31"/>
    </row>
    <row r="114" spans="1:6" ht="15.75" customHeight="1" thickBot="1" x14ac:dyDescent="0.35">
      <c r="A114" s="7" t="s">
        <v>5</v>
      </c>
      <c r="B114" s="8" t="s">
        <v>6</v>
      </c>
      <c r="C114" s="8" t="s">
        <v>11</v>
      </c>
      <c r="D114" s="32" t="s">
        <v>3</v>
      </c>
      <c r="E114" s="32" t="s">
        <v>4</v>
      </c>
      <c r="F114" s="33" t="s">
        <v>12</v>
      </c>
    </row>
    <row r="115" spans="1:6" ht="15.75" customHeight="1" x14ac:dyDescent="0.3">
      <c r="A115" s="10">
        <v>5</v>
      </c>
      <c r="B115" s="11">
        <v>45783</v>
      </c>
      <c r="C115" s="10" t="str">
        <f>'LIBRO DIARIO'!I34</f>
        <v>VENTA DE MERCADERIAS</v>
      </c>
      <c r="D115" s="29"/>
      <c r="E115" s="29">
        <f>'LIBRO DIARIO'!K32</f>
        <v>203454545</v>
      </c>
      <c r="F115" s="29">
        <f>E115</f>
        <v>203454545</v>
      </c>
    </row>
    <row r="116" spans="1:6" ht="15.75" customHeight="1" x14ac:dyDescent="0.3">
      <c r="A116" s="4">
        <v>9</v>
      </c>
      <c r="B116" s="5">
        <v>45784</v>
      </c>
      <c r="C116" s="4" t="str">
        <f>'LIBRO DIARIO'!I48</f>
        <v>VENTA DE MERCADERIAS</v>
      </c>
      <c r="D116" s="28"/>
      <c r="E116" s="28">
        <f>'LIBRO DIARIO'!K46</f>
        <v>83363636.36363636</v>
      </c>
      <c r="F116" s="28">
        <f>F115+E116</f>
        <v>286818181.36363637</v>
      </c>
    </row>
    <row r="117" spans="1:6" ht="15.75" customHeight="1" x14ac:dyDescent="0.3">
      <c r="A117" s="4"/>
      <c r="B117" s="4"/>
      <c r="C117" s="4"/>
      <c r="D117" s="28"/>
      <c r="E117" s="28"/>
      <c r="F117" s="28"/>
    </row>
    <row r="118" spans="1:6" ht="15.75" customHeight="1" x14ac:dyDescent="0.3">
      <c r="A118" s="4"/>
      <c r="B118" s="2"/>
      <c r="C118" s="2" t="s">
        <v>14</v>
      </c>
      <c r="D118" s="41"/>
      <c r="E118" s="41">
        <f>SUM(E115:E117)</f>
        <v>286818181.36363637</v>
      </c>
      <c r="F118" s="28"/>
    </row>
    <row r="119" spans="1:6" ht="15.75" customHeight="1" x14ac:dyDescent="0.3">
      <c r="D119" s="13"/>
      <c r="E119" s="13"/>
      <c r="F119" s="13"/>
    </row>
    <row r="120" spans="1:6" ht="15.75" customHeight="1" thickBot="1" x14ac:dyDescent="0.35">
      <c r="A120" s="138" t="s">
        <v>9</v>
      </c>
      <c r="B120" s="139">
        <v>14</v>
      </c>
      <c r="C120" s="138" t="s">
        <v>10</v>
      </c>
      <c r="D120" s="151" t="s">
        <v>58</v>
      </c>
      <c r="E120" s="152"/>
      <c r="F120" s="31"/>
    </row>
    <row r="121" spans="1:6" ht="15.75" customHeight="1" thickBot="1" x14ac:dyDescent="0.35">
      <c r="A121" s="7" t="s">
        <v>5</v>
      </c>
      <c r="B121" s="8" t="s">
        <v>6</v>
      </c>
      <c r="C121" s="8" t="s">
        <v>11</v>
      </c>
      <c r="D121" s="32" t="s">
        <v>3</v>
      </c>
      <c r="E121" s="32" t="s">
        <v>4</v>
      </c>
      <c r="F121" s="33" t="s">
        <v>12</v>
      </c>
    </row>
    <row r="122" spans="1:6" ht="15.75" customHeight="1" x14ac:dyDescent="0.3">
      <c r="A122" s="10">
        <v>5</v>
      </c>
      <c r="B122" s="11">
        <v>45418</v>
      </c>
      <c r="C122" s="10" t="str">
        <f>'LIBRO DIARIO'!I34</f>
        <v>VENTA DE MERCADERIAS</v>
      </c>
      <c r="D122" s="29"/>
      <c r="E122" s="29">
        <f>'LIBRO DIARIO'!K33</f>
        <v>20345455</v>
      </c>
      <c r="F122" s="29">
        <f>E122</f>
        <v>20345455</v>
      </c>
    </row>
    <row r="123" spans="1:6" ht="15.75" customHeight="1" x14ac:dyDescent="0.3">
      <c r="A123" s="4">
        <v>9</v>
      </c>
      <c r="B123" s="5">
        <v>45785</v>
      </c>
      <c r="C123" s="4" t="str">
        <f>'LIBRO DIARIO'!I48</f>
        <v>VENTA DE MERCADERIAS</v>
      </c>
      <c r="D123" s="28"/>
      <c r="E123" s="28">
        <f>'LIBRO DIARIO'!K47</f>
        <v>8336363.6363636367</v>
      </c>
      <c r="F123" s="28">
        <f>F122+E123</f>
        <v>28681818.636363637</v>
      </c>
    </row>
    <row r="124" spans="1:6" ht="15.75" customHeight="1" x14ac:dyDescent="0.3">
      <c r="A124" s="4"/>
      <c r="B124" s="4"/>
      <c r="C124" s="4"/>
      <c r="D124" s="28"/>
      <c r="E124" s="28"/>
      <c r="F124" s="28"/>
    </row>
    <row r="125" spans="1:6" ht="15.75" customHeight="1" x14ac:dyDescent="0.3">
      <c r="A125" s="4"/>
      <c r="B125" s="4"/>
      <c r="C125" s="2" t="s">
        <v>14</v>
      </c>
      <c r="D125" s="41"/>
      <c r="E125" s="41">
        <f>SUM(E122:E124)</f>
        <v>28681818.636363637</v>
      </c>
      <c r="F125" s="28"/>
    </row>
    <row r="126" spans="1:6" ht="15.75" customHeight="1" x14ac:dyDescent="0.3">
      <c r="D126" s="13"/>
      <c r="E126" s="13"/>
      <c r="F126" s="13"/>
    </row>
    <row r="127" spans="1:6" ht="15.75" customHeight="1" thickBot="1" x14ac:dyDescent="0.35">
      <c r="A127" s="138" t="s">
        <v>9</v>
      </c>
      <c r="B127" s="139">
        <v>15</v>
      </c>
      <c r="C127" s="138" t="s">
        <v>10</v>
      </c>
      <c r="D127" s="151" t="s">
        <v>61</v>
      </c>
      <c r="E127" s="152"/>
      <c r="F127" s="31"/>
    </row>
    <row r="128" spans="1:6" ht="15.75" customHeight="1" thickBot="1" x14ac:dyDescent="0.35">
      <c r="A128" s="7" t="s">
        <v>5</v>
      </c>
      <c r="B128" s="8" t="s">
        <v>6</v>
      </c>
      <c r="C128" s="8" t="s">
        <v>11</v>
      </c>
      <c r="D128" s="32" t="s">
        <v>3</v>
      </c>
      <c r="E128" s="32" t="s">
        <v>4</v>
      </c>
      <c r="F128" s="33" t="s">
        <v>12</v>
      </c>
    </row>
    <row r="129" spans="1:6" ht="15.75" customHeight="1" x14ac:dyDescent="0.3">
      <c r="A129" s="10">
        <v>6</v>
      </c>
      <c r="B129" s="11">
        <f>'LIBRO DIARIO'!H36</f>
        <v>45418</v>
      </c>
      <c r="C129" s="10" t="str">
        <f>'LIBRO DIARIO'!I38</f>
        <v>COSTEO SEGUN FICHA DE DEPOSITO</v>
      </c>
      <c r="D129" s="29">
        <f>'LIBRO DIARIO'!J36</f>
        <v>172909091</v>
      </c>
      <c r="E129" s="29"/>
      <c r="F129" s="29">
        <f>D129</f>
        <v>172909091</v>
      </c>
    </row>
    <row r="130" spans="1:6" ht="15.75" customHeight="1" x14ac:dyDescent="0.3">
      <c r="A130" s="4">
        <v>10</v>
      </c>
      <c r="B130" s="5">
        <f>'LIBRO DIARIO'!H50</f>
        <v>45420</v>
      </c>
      <c r="C130" s="4" t="str">
        <f>'LIBRO DIARIO'!I52</f>
        <v>COSTEO SEGÚN FICHA DE DEPOSITO</v>
      </c>
      <c r="D130" s="28">
        <f>'LIBRO DIARIO'!J50</f>
        <v>69818181.818181813</v>
      </c>
      <c r="E130" s="28"/>
      <c r="F130" s="28">
        <f>F129+D130</f>
        <v>242727272.81818181</v>
      </c>
    </row>
    <row r="131" spans="1:6" ht="15.75" customHeight="1" x14ac:dyDescent="0.3">
      <c r="A131" s="4"/>
      <c r="B131" s="4"/>
      <c r="C131" s="4"/>
      <c r="D131" s="28"/>
      <c r="E131" s="28"/>
      <c r="F131" s="28"/>
    </row>
    <row r="132" spans="1:6" ht="15.75" customHeight="1" x14ac:dyDescent="0.3">
      <c r="A132" s="4"/>
      <c r="B132" s="4"/>
      <c r="C132" s="2" t="s">
        <v>14</v>
      </c>
      <c r="D132" s="41">
        <f>SUM(D129:D131)</f>
        <v>242727272.81818181</v>
      </c>
      <c r="E132" s="28"/>
      <c r="F132" s="28"/>
    </row>
    <row r="133" spans="1:6" ht="15.75" customHeight="1" x14ac:dyDescent="0.3">
      <c r="D133" s="13"/>
      <c r="E133" s="13"/>
      <c r="F133" s="13"/>
    </row>
    <row r="134" spans="1:6" ht="15.75" customHeight="1" x14ac:dyDescent="0.3">
      <c r="D134" s="13"/>
      <c r="E134" s="13"/>
      <c r="F134" s="13"/>
    </row>
    <row r="135" spans="1:6" ht="15.75" customHeight="1" thickBot="1" x14ac:dyDescent="0.35">
      <c r="A135" s="138" t="s">
        <v>9</v>
      </c>
      <c r="B135" s="139">
        <v>16</v>
      </c>
      <c r="C135" s="138" t="s">
        <v>10</v>
      </c>
      <c r="D135" s="151" t="s">
        <v>82</v>
      </c>
      <c r="E135" s="152"/>
      <c r="F135" s="31"/>
    </row>
    <row r="136" spans="1:6" ht="15.75" customHeight="1" thickBot="1" x14ac:dyDescent="0.35">
      <c r="A136" s="7" t="s">
        <v>5</v>
      </c>
      <c r="B136" s="8" t="s">
        <v>6</v>
      </c>
      <c r="C136" s="8" t="s">
        <v>11</v>
      </c>
      <c r="D136" s="32" t="s">
        <v>3</v>
      </c>
      <c r="E136" s="32" t="s">
        <v>4</v>
      </c>
      <c r="F136" s="33" t="s">
        <v>12</v>
      </c>
    </row>
    <row r="137" spans="1:6" ht="15.75" customHeight="1" x14ac:dyDescent="0.3">
      <c r="A137" s="10">
        <v>11</v>
      </c>
      <c r="B137" s="11">
        <v>45421</v>
      </c>
      <c r="C137" s="10" t="str">
        <f>'LIBRO DIARIO'!I56</f>
        <v>PAGO POR PATENTE COMERCIAL</v>
      </c>
      <c r="D137" s="29">
        <f>'LIBRO DIARIO'!J54</f>
        <v>500000</v>
      </c>
      <c r="E137" s="29"/>
      <c r="F137" s="29">
        <f>D137</f>
        <v>500000</v>
      </c>
    </row>
    <row r="138" spans="1:6" ht="15.75" customHeight="1" x14ac:dyDescent="0.3">
      <c r="A138" s="4"/>
      <c r="B138" s="4"/>
      <c r="C138" s="4"/>
      <c r="D138" s="28"/>
      <c r="E138" s="28"/>
      <c r="F138" s="28"/>
    </row>
    <row r="139" spans="1:6" ht="15.75" customHeight="1" x14ac:dyDescent="0.3">
      <c r="A139" s="4"/>
      <c r="B139" s="4"/>
      <c r="C139" s="4"/>
      <c r="D139" s="28"/>
      <c r="E139" s="28"/>
      <c r="F139" s="28"/>
    </row>
    <row r="140" spans="1:6" ht="15.75" customHeight="1" x14ac:dyDescent="0.3">
      <c r="A140" s="4"/>
      <c r="B140" s="4"/>
      <c r="C140" s="2" t="s">
        <v>14</v>
      </c>
      <c r="D140" s="41">
        <f>D137</f>
        <v>500000</v>
      </c>
      <c r="E140" s="28"/>
      <c r="F140" s="28"/>
    </row>
    <row r="141" spans="1:6" ht="15.75" customHeight="1" x14ac:dyDescent="0.3">
      <c r="D141" s="13"/>
      <c r="E141" s="13"/>
      <c r="F141" s="13"/>
    </row>
    <row r="142" spans="1:6" ht="15.75" customHeight="1" x14ac:dyDescent="0.3">
      <c r="D142" s="13"/>
      <c r="E142" s="13"/>
      <c r="F142" s="13"/>
    </row>
    <row r="143" spans="1:6" ht="15.75" customHeight="1" thickBot="1" x14ac:dyDescent="0.35">
      <c r="A143" s="138" t="s">
        <v>9</v>
      </c>
      <c r="B143" s="139">
        <v>17</v>
      </c>
      <c r="C143" s="138" t="s">
        <v>10</v>
      </c>
      <c r="D143" s="151" t="s">
        <v>84</v>
      </c>
      <c r="E143" s="152"/>
      <c r="F143" s="31"/>
    </row>
    <row r="144" spans="1:6" ht="15.75" customHeight="1" thickBot="1" x14ac:dyDescent="0.35">
      <c r="A144" s="7" t="s">
        <v>5</v>
      </c>
      <c r="B144" s="8" t="s">
        <v>6</v>
      </c>
      <c r="C144" s="8" t="s">
        <v>11</v>
      </c>
      <c r="D144" s="32" t="s">
        <v>3</v>
      </c>
      <c r="E144" s="32" t="s">
        <v>4</v>
      </c>
      <c r="F144" s="33" t="s">
        <v>12</v>
      </c>
    </row>
    <row r="145" spans="1:6" ht="15.75" customHeight="1" x14ac:dyDescent="0.3">
      <c r="A145" s="10">
        <v>12</v>
      </c>
      <c r="B145" s="11">
        <v>45424</v>
      </c>
      <c r="C145" s="10" t="str">
        <f>'LIBRO DIARIO'!I61</f>
        <v>COMPRA DE PRODUCTOS DE LIMPIEZA</v>
      </c>
      <c r="D145" s="29">
        <f>'LIBRO DIARIO'!J58</f>
        <v>1200000</v>
      </c>
      <c r="E145" s="29"/>
      <c r="F145" s="29">
        <f>D145</f>
        <v>1200000</v>
      </c>
    </row>
    <row r="146" spans="1:6" ht="15.75" customHeight="1" x14ac:dyDescent="0.3">
      <c r="A146" s="4"/>
      <c r="B146" s="4"/>
      <c r="C146" s="4"/>
      <c r="D146" s="28"/>
      <c r="E146" s="28"/>
      <c r="F146" s="28"/>
    </row>
    <row r="147" spans="1:6" ht="15.75" customHeight="1" x14ac:dyDescent="0.3">
      <c r="A147" s="4"/>
      <c r="B147" s="4"/>
      <c r="C147" s="4"/>
      <c r="D147" s="28"/>
      <c r="E147" s="28"/>
      <c r="F147" s="28"/>
    </row>
    <row r="148" spans="1:6" ht="15.75" customHeight="1" x14ac:dyDescent="0.3">
      <c r="A148" s="4"/>
      <c r="B148" s="4"/>
      <c r="C148" s="2" t="s">
        <v>14</v>
      </c>
      <c r="D148" s="41">
        <f>D145</f>
        <v>1200000</v>
      </c>
      <c r="E148" s="28"/>
      <c r="F148" s="28"/>
    </row>
    <row r="149" spans="1:6" ht="15.75" customHeight="1" x14ac:dyDescent="0.3">
      <c r="D149" s="13"/>
      <c r="E149" s="13"/>
      <c r="F149" s="13"/>
    </row>
    <row r="150" spans="1:6" ht="15.75" customHeight="1" x14ac:dyDescent="0.3">
      <c r="D150" s="13"/>
      <c r="E150" s="13"/>
      <c r="F150" s="13"/>
    </row>
    <row r="151" spans="1:6" ht="15.75" customHeight="1" thickBot="1" x14ac:dyDescent="0.35">
      <c r="A151" s="138" t="s">
        <v>9</v>
      </c>
      <c r="B151" s="139">
        <v>18</v>
      </c>
      <c r="C151" s="138" t="s">
        <v>10</v>
      </c>
      <c r="D151" s="151" t="s">
        <v>105</v>
      </c>
      <c r="E151" s="152"/>
      <c r="F151" s="31"/>
    </row>
    <row r="152" spans="1:6" ht="15.75" customHeight="1" thickBot="1" x14ac:dyDescent="0.35">
      <c r="A152" s="7" t="s">
        <v>5</v>
      </c>
      <c r="B152" s="8" t="s">
        <v>6</v>
      </c>
      <c r="C152" s="8" t="s">
        <v>11</v>
      </c>
      <c r="D152" s="32" t="s">
        <v>3</v>
      </c>
      <c r="E152" s="32" t="s">
        <v>4</v>
      </c>
      <c r="F152" s="33" t="s">
        <v>12</v>
      </c>
    </row>
    <row r="153" spans="1:6" ht="15.75" customHeight="1" x14ac:dyDescent="0.3">
      <c r="A153" s="10">
        <v>13</v>
      </c>
      <c r="B153" s="11">
        <v>45427</v>
      </c>
      <c r="C153" s="10" t="str">
        <f>'LIBRO DIARIO'!I66</f>
        <v>PAGO DE SERVICIOS DE INTERNET</v>
      </c>
      <c r="D153" s="29">
        <f>'LIBRO DIARIO'!J63</f>
        <v>890909.09090909082</v>
      </c>
      <c r="E153" s="29"/>
      <c r="F153" s="29">
        <f>D153</f>
        <v>890909.09090909082</v>
      </c>
    </row>
    <row r="154" spans="1:6" ht="15.75" customHeight="1" x14ac:dyDescent="0.3">
      <c r="A154" s="4"/>
      <c r="B154" s="4"/>
      <c r="C154" s="4"/>
      <c r="D154" s="28"/>
      <c r="E154" s="28"/>
      <c r="F154" s="28"/>
    </row>
    <row r="155" spans="1:6" ht="15.75" customHeight="1" x14ac:dyDescent="0.3">
      <c r="A155" s="4"/>
      <c r="B155" s="4"/>
      <c r="C155" s="4"/>
      <c r="D155" s="28"/>
      <c r="E155" s="28"/>
      <c r="F155" s="28"/>
    </row>
    <row r="156" spans="1:6" ht="15.75" customHeight="1" x14ac:dyDescent="0.3">
      <c r="A156" s="4"/>
      <c r="B156" s="4"/>
      <c r="C156" s="2" t="s">
        <v>14</v>
      </c>
      <c r="D156" s="41">
        <f>D153</f>
        <v>890909.09090909082</v>
      </c>
      <c r="E156" s="28"/>
      <c r="F156" s="28"/>
    </row>
    <row r="157" spans="1:6" ht="15.75" customHeight="1" x14ac:dyDescent="0.3">
      <c r="D157" s="13"/>
      <c r="E157" s="13"/>
      <c r="F157" s="13"/>
    </row>
    <row r="158" spans="1:6" ht="15.75" customHeight="1" thickBot="1" x14ac:dyDescent="0.35">
      <c r="A158" s="138" t="s">
        <v>9</v>
      </c>
      <c r="B158" s="139">
        <v>19</v>
      </c>
      <c r="C158" s="138" t="s">
        <v>10</v>
      </c>
      <c r="D158" s="151" t="s">
        <v>97</v>
      </c>
      <c r="E158" s="152"/>
      <c r="F158" s="31"/>
    </row>
    <row r="159" spans="1:6" ht="15.75" customHeight="1" thickBot="1" x14ac:dyDescent="0.35">
      <c r="A159" s="7" t="s">
        <v>5</v>
      </c>
      <c r="B159" s="8" t="s">
        <v>6</v>
      </c>
      <c r="C159" s="8" t="s">
        <v>11</v>
      </c>
      <c r="D159" s="32" t="s">
        <v>3</v>
      </c>
      <c r="E159" s="32" t="s">
        <v>4</v>
      </c>
      <c r="F159" s="33" t="s">
        <v>12</v>
      </c>
    </row>
    <row r="160" spans="1:6" ht="15.75" customHeight="1" x14ac:dyDescent="0.3">
      <c r="A160" s="10">
        <v>14</v>
      </c>
      <c r="B160" s="11">
        <f>'LIBRO DIARIO'!H68</f>
        <v>45432</v>
      </c>
      <c r="C160" s="10" t="str">
        <f>'LIBRO DIARIO'!I71</f>
        <v>PAGO AL CONTADOR POR TRAMITES</v>
      </c>
      <c r="D160" s="29">
        <f>'LIBRO DIARIO'!J68</f>
        <v>4618181.8181818174</v>
      </c>
      <c r="E160" s="29"/>
      <c r="F160" s="29">
        <f>D160</f>
        <v>4618181.8181818174</v>
      </c>
    </row>
    <row r="161" spans="1:6" ht="15.75" customHeight="1" x14ac:dyDescent="0.3">
      <c r="A161" s="4"/>
      <c r="B161" s="4"/>
      <c r="C161" s="4"/>
      <c r="D161" s="28"/>
      <c r="E161" s="28"/>
      <c r="F161" s="28"/>
    </row>
    <row r="162" spans="1:6" ht="15.75" customHeight="1" x14ac:dyDescent="0.3">
      <c r="A162" s="4"/>
      <c r="B162" s="4"/>
      <c r="C162" s="4"/>
      <c r="D162" s="28"/>
      <c r="E162" s="28"/>
      <c r="F162" s="28"/>
    </row>
    <row r="163" spans="1:6" ht="15.75" customHeight="1" x14ac:dyDescent="0.3">
      <c r="A163" s="4"/>
      <c r="B163" s="4"/>
      <c r="C163" s="2" t="s">
        <v>14</v>
      </c>
      <c r="D163" s="41">
        <f>D160</f>
        <v>4618181.8181818174</v>
      </c>
      <c r="E163" s="28"/>
      <c r="F163" s="28"/>
    </row>
    <row r="164" spans="1:6" ht="15.75" customHeight="1" x14ac:dyDescent="0.3">
      <c r="D164" s="13"/>
      <c r="E164" s="13"/>
      <c r="F164" s="13"/>
    </row>
    <row r="165" spans="1:6" ht="15.75" customHeight="1" thickBot="1" x14ac:dyDescent="0.35">
      <c r="A165" s="138" t="s">
        <v>9</v>
      </c>
      <c r="B165" s="139">
        <v>20</v>
      </c>
      <c r="C165" s="138" t="s">
        <v>10</v>
      </c>
      <c r="D165" s="151" t="s">
        <v>95</v>
      </c>
      <c r="E165" s="152"/>
      <c r="F165" s="31"/>
    </row>
    <row r="166" spans="1:6" ht="15.75" customHeight="1" thickBot="1" x14ac:dyDescent="0.35">
      <c r="A166" s="7" t="s">
        <v>5</v>
      </c>
      <c r="B166" s="8" t="s">
        <v>6</v>
      </c>
      <c r="C166" s="8" t="s">
        <v>11</v>
      </c>
      <c r="D166" s="32" t="s">
        <v>3</v>
      </c>
      <c r="E166" s="32" t="s">
        <v>4</v>
      </c>
      <c r="F166" s="33" t="s">
        <v>12</v>
      </c>
    </row>
    <row r="167" spans="1:6" ht="15.75" customHeight="1" x14ac:dyDescent="0.3">
      <c r="A167" s="10">
        <v>15</v>
      </c>
      <c r="B167" s="11">
        <v>45442</v>
      </c>
      <c r="C167" s="10" t="str">
        <f>'LIBRO DIARIO'!I77</f>
        <v>SE PROVISIONA SALARIO DEL MES</v>
      </c>
      <c r="D167" s="29">
        <f>'LIBRO DIARIO'!J73</f>
        <v>9180373</v>
      </c>
      <c r="E167" s="29"/>
      <c r="F167" s="29">
        <f>D167</f>
        <v>9180373</v>
      </c>
    </row>
    <row r="168" spans="1:6" ht="15.75" customHeight="1" x14ac:dyDescent="0.3">
      <c r="A168" s="4"/>
      <c r="B168" s="4"/>
      <c r="C168" s="4"/>
      <c r="D168" s="28"/>
      <c r="E168" s="28"/>
      <c r="F168" s="28"/>
    </row>
    <row r="169" spans="1:6" ht="15.75" customHeight="1" x14ac:dyDescent="0.3">
      <c r="A169" s="4"/>
      <c r="B169" s="4"/>
      <c r="C169" s="4"/>
      <c r="D169" s="28"/>
      <c r="E169" s="28"/>
      <c r="F169" s="28"/>
    </row>
    <row r="170" spans="1:6" ht="15.75" customHeight="1" x14ac:dyDescent="0.3">
      <c r="A170" s="4"/>
      <c r="B170" s="4"/>
      <c r="C170" s="2" t="s">
        <v>14</v>
      </c>
      <c r="D170" s="41">
        <f>D167</f>
        <v>9180373</v>
      </c>
      <c r="E170" s="28"/>
      <c r="F170" s="28"/>
    </row>
    <row r="171" spans="1:6" ht="15.75" customHeight="1" x14ac:dyDescent="0.3">
      <c r="D171" s="13"/>
      <c r="E171" s="13"/>
      <c r="F171" s="13"/>
    </row>
    <row r="172" spans="1:6" ht="15.75" customHeight="1" thickBot="1" x14ac:dyDescent="0.35">
      <c r="A172" s="138" t="s">
        <v>9</v>
      </c>
      <c r="B172" s="139">
        <v>21</v>
      </c>
      <c r="C172" s="138" t="s">
        <v>10</v>
      </c>
      <c r="D172" s="151" t="s">
        <v>96</v>
      </c>
      <c r="E172" s="152"/>
      <c r="F172" s="31"/>
    </row>
    <row r="173" spans="1:6" ht="15.75" customHeight="1" thickBot="1" x14ac:dyDescent="0.35">
      <c r="A173" s="7" t="s">
        <v>5</v>
      </c>
      <c r="B173" s="8" t="s">
        <v>6</v>
      </c>
      <c r="C173" s="8" t="s">
        <v>11</v>
      </c>
      <c r="D173" s="32" t="s">
        <v>3</v>
      </c>
      <c r="E173" s="32" t="s">
        <v>4</v>
      </c>
      <c r="F173" s="33" t="s">
        <v>12</v>
      </c>
    </row>
    <row r="174" spans="1:6" ht="15.75" customHeight="1" x14ac:dyDescent="0.3">
      <c r="A174" s="10">
        <v>15</v>
      </c>
      <c r="B174" s="11">
        <v>45442</v>
      </c>
      <c r="C174" s="10" t="str">
        <f>C167</f>
        <v>SE PROVISIONA SALARIO DEL MES</v>
      </c>
      <c r="D174" s="29">
        <f>'LIBRO DIARIO'!J74</f>
        <v>1514761.5450000002</v>
      </c>
      <c r="E174" s="29"/>
      <c r="F174" s="29">
        <f>D174</f>
        <v>1514761.5450000002</v>
      </c>
    </row>
    <row r="175" spans="1:6" ht="15.75" customHeight="1" x14ac:dyDescent="0.3">
      <c r="A175" s="4"/>
      <c r="B175" s="4"/>
      <c r="C175" s="4"/>
      <c r="D175" s="28"/>
      <c r="E175" s="28"/>
      <c r="F175" s="28"/>
    </row>
    <row r="176" spans="1:6" ht="15.75" customHeight="1" x14ac:dyDescent="0.3">
      <c r="A176" s="4"/>
      <c r="B176" s="4"/>
      <c r="C176" s="4"/>
      <c r="D176" s="28"/>
      <c r="E176" s="28"/>
      <c r="F176" s="28"/>
    </row>
    <row r="177" spans="1:6" ht="15.75" customHeight="1" x14ac:dyDescent="0.3">
      <c r="A177" s="4"/>
      <c r="B177" s="4"/>
      <c r="C177" s="2" t="s">
        <v>14</v>
      </c>
      <c r="D177" s="14">
        <f>D174</f>
        <v>1514761.5450000002</v>
      </c>
      <c r="E177" s="28"/>
      <c r="F177" s="28"/>
    </row>
    <row r="178" spans="1:6" ht="15.75" customHeight="1" x14ac:dyDescent="0.3">
      <c r="E178" s="13"/>
      <c r="F178" s="13"/>
    </row>
    <row r="179" spans="1:6" ht="15.75" customHeight="1" thickBot="1" x14ac:dyDescent="0.35">
      <c r="A179" s="138" t="s">
        <v>9</v>
      </c>
      <c r="B179" s="139">
        <v>22</v>
      </c>
      <c r="C179" s="138" t="s">
        <v>10</v>
      </c>
      <c r="D179" s="151" t="s">
        <v>100</v>
      </c>
      <c r="E179" s="152"/>
      <c r="F179" s="31"/>
    </row>
    <row r="180" spans="1:6" ht="15.75" customHeight="1" thickBot="1" x14ac:dyDescent="0.35">
      <c r="A180" s="7" t="s">
        <v>5</v>
      </c>
      <c r="B180" s="8" t="s">
        <v>6</v>
      </c>
      <c r="C180" s="8" t="s">
        <v>11</v>
      </c>
      <c r="D180" s="32" t="s">
        <v>3</v>
      </c>
      <c r="E180" s="32" t="s">
        <v>4</v>
      </c>
      <c r="F180" s="33" t="s">
        <v>12</v>
      </c>
    </row>
    <row r="181" spans="1:6" ht="15.75" customHeight="1" x14ac:dyDescent="0.3">
      <c r="A181" s="10">
        <v>15</v>
      </c>
      <c r="B181" s="11">
        <v>45442</v>
      </c>
      <c r="C181" s="10" t="str">
        <f>C167</f>
        <v>SE PROVISIONA SALARIO DEL MES</v>
      </c>
      <c r="D181" s="29"/>
      <c r="E181" s="29">
        <f>'LIBRO DIARIO'!K75</f>
        <v>2340995.1150000002</v>
      </c>
      <c r="F181" s="29">
        <f>E181</f>
        <v>2340995.1150000002</v>
      </c>
    </row>
    <row r="182" spans="1:6" ht="15.75" customHeight="1" x14ac:dyDescent="0.3">
      <c r="A182" s="4"/>
      <c r="B182" s="4"/>
      <c r="C182" s="4"/>
      <c r="D182" s="28"/>
      <c r="E182" s="28"/>
      <c r="F182" s="28"/>
    </row>
    <row r="183" spans="1:6" ht="15.75" customHeight="1" x14ac:dyDescent="0.3">
      <c r="A183" s="4"/>
      <c r="B183" s="4"/>
      <c r="C183" s="4"/>
      <c r="D183" s="28"/>
      <c r="E183" s="28"/>
      <c r="F183" s="28"/>
    </row>
    <row r="184" spans="1:6" ht="15.75" customHeight="1" x14ac:dyDescent="0.3">
      <c r="A184" s="4"/>
      <c r="B184" s="4"/>
      <c r="C184" s="2" t="s">
        <v>14</v>
      </c>
      <c r="D184" s="41"/>
      <c r="E184" s="41">
        <f>E181</f>
        <v>2340995.1150000002</v>
      </c>
      <c r="F184" s="28"/>
    </row>
    <row r="185" spans="1:6" ht="15.75" customHeight="1" x14ac:dyDescent="0.3">
      <c r="D185" s="13"/>
      <c r="E185" s="13"/>
      <c r="F185" s="13"/>
    </row>
    <row r="186" spans="1:6" ht="15.75" customHeight="1" thickBot="1" x14ac:dyDescent="0.35">
      <c r="A186" s="138" t="s">
        <v>9</v>
      </c>
      <c r="B186" s="139">
        <v>23</v>
      </c>
      <c r="C186" s="138" t="s">
        <v>10</v>
      </c>
      <c r="D186" s="151" t="s">
        <v>99</v>
      </c>
      <c r="E186" s="152"/>
      <c r="F186" s="31"/>
    </row>
    <row r="187" spans="1:6" ht="15.75" customHeight="1" thickBot="1" x14ac:dyDescent="0.35">
      <c r="A187" s="7" t="s">
        <v>5</v>
      </c>
      <c r="B187" s="8" t="s">
        <v>6</v>
      </c>
      <c r="C187" s="8" t="s">
        <v>11</v>
      </c>
      <c r="D187" s="32" t="s">
        <v>3</v>
      </c>
      <c r="E187" s="32" t="s">
        <v>4</v>
      </c>
      <c r="F187" s="33" t="s">
        <v>12</v>
      </c>
    </row>
    <row r="188" spans="1:6" ht="15.75" customHeight="1" x14ac:dyDescent="0.3">
      <c r="A188" s="10">
        <v>15</v>
      </c>
      <c r="B188" s="11">
        <v>45442</v>
      </c>
      <c r="C188" s="10" t="str">
        <f>C181</f>
        <v>SE PROVISIONA SALARIO DEL MES</v>
      </c>
      <c r="D188" s="29"/>
      <c r="E188" s="29">
        <f>'LIBRO DIARIO'!K76</f>
        <v>8354139.4300000006</v>
      </c>
      <c r="F188" s="29">
        <f>E188</f>
        <v>8354139.4300000006</v>
      </c>
    </row>
    <row r="189" spans="1:6" ht="15.75" customHeight="1" x14ac:dyDescent="0.3">
      <c r="A189" s="4"/>
      <c r="B189" s="4"/>
      <c r="C189" s="4"/>
      <c r="D189" s="28"/>
      <c r="E189" s="28"/>
      <c r="F189" s="28"/>
    </row>
    <row r="190" spans="1:6" ht="15.75" customHeight="1" x14ac:dyDescent="0.3">
      <c r="A190" s="4"/>
      <c r="B190" s="4"/>
      <c r="C190" s="4"/>
      <c r="D190" s="28"/>
      <c r="E190" s="28"/>
      <c r="F190" s="28"/>
    </row>
    <row r="191" spans="1:6" ht="15.75" customHeight="1" x14ac:dyDescent="0.3">
      <c r="A191" s="4"/>
      <c r="B191" s="4"/>
      <c r="C191" s="2" t="s">
        <v>14</v>
      </c>
      <c r="D191" s="41"/>
      <c r="E191" s="41">
        <f>E188</f>
        <v>8354139.4300000006</v>
      </c>
      <c r="F191" s="28"/>
    </row>
    <row r="192" spans="1:6" ht="15.75" customHeight="1" x14ac:dyDescent="0.3">
      <c r="D192" s="13"/>
      <c r="E192" s="13"/>
      <c r="F192" s="13"/>
    </row>
    <row r="193" spans="4:6" ht="15.75" customHeight="1" x14ac:dyDescent="0.3">
      <c r="D193" s="13"/>
      <c r="E193" s="13"/>
      <c r="F193" s="13"/>
    </row>
    <row r="194" spans="4:6" ht="15.75" customHeight="1" x14ac:dyDescent="0.3">
      <c r="D194" s="13"/>
      <c r="E194" s="13"/>
      <c r="F194" s="13"/>
    </row>
    <row r="195" spans="4:6" ht="15.75" customHeight="1" x14ac:dyDescent="0.3">
      <c r="D195" s="13"/>
      <c r="E195" s="13"/>
      <c r="F195" s="13"/>
    </row>
    <row r="196" spans="4:6" ht="15.75" customHeight="1" x14ac:dyDescent="0.3">
      <c r="D196" s="13"/>
      <c r="E196" s="13"/>
      <c r="F196" s="13"/>
    </row>
    <row r="197" spans="4:6" ht="15.75" customHeight="1" x14ac:dyDescent="0.3">
      <c r="D197" s="13"/>
      <c r="E197" s="13"/>
      <c r="F197" s="13"/>
    </row>
    <row r="198" spans="4:6" ht="15.75" customHeight="1" x14ac:dyDescent="0.3">
      <c r="D198" s="13"/>
      <c r="E198" s="13"/>
      <c r="F198" s="13"/>
    </row>
    <row r="199" spans="4:6" ht="15.75" customHeight="1" x14ac:dyDescent="0.3">
      <c r="D199" s="13"/>
      <c r="E199" s="13"/>
      <c r="F199" s="13"/>
    </row>
    <row r="200" spans="4:6" ht="15.75" customHeight="1" x14ac:dyDescent="0.3">
      <c r="D200" s="13"/>
      <c r="E200" s="13"/>
      <c r="F200" s="13"/>
    </row>
    <row r="201" spans="4:6" ht="15.75" customHeight="1" x14ac:dyDescent="0.3">
      <c r="D201" s="13"/>
      <c r="E201" s="13"/>
      <c r="F201" s="13"/>
    </row>
    <row r="202" spans="4:6" ht="15.75" customHeight="1" x14ac:dyDescent="0.3">
      <c r="D202" s="13"/>
      <c r="E202" s="13"/>
      <c r="F202" s="13"/>
    </row>
    <row r="203" spans="4:6" ht="15.75" customHeight="1" x14ac:dyDescent="0.3">
      <c r="D203" s="13"/>
      <c r="E203" s="13"/>
      <c r="F203" s="13"/>
    </row>
    <row r="204" spans="4:6" ht="15.75" customHeight="1" x14ac:dyDescent="0.3">
      <c r="D204" s="13"/>
      <c r="E204" s="13"/>
      <c r="F204" s="13"/>
    </row>
    <row r="205" spans="4:6" ht="15.75" customHeight="1" x14ac:dyDescent="0.3">
      <c r="D205" s="13"/>
      <c r="E205" s="13"/>
      <c r="F205" s="13"/>
    </row>
    <row r="206" spans="4:6" ht="15.75" customHeight="1" x14ac:dyDescent="0.3">
      <c r="D206" s="13"/>
      <c r="E206" s="13"/>
      <c r="F206" s="13"/>
    </row>
    <row r="207" spans="4:6" ht="15.75" customHeight="1" x14ac:dyDescent="0.3">
      <c r="D207" s="13"/>
      <c r="E207" s="13"/>
      <c r="F207" s="13"/>
    </row>
    <row r="208" spans="4:6" ht="15.75" customHeight="1" x14ac:dyDescent="0.3">
      <c r="D208" s="13"/>
      <c r="E208" s="13"/>
      <c r="F208" s="13"/>
    </row>
    <row r="209" spans="4:6" ht="15.75" customHeight="1" x14ac:dyDescent="0.3">
      <c r="D209" s="13"/>
      <c r="E209" s="13"/>
      <c r="F209" s="13"/>
    </row>
    <row r="210" spans="4:6" ht="15.75" customHeight="1" x14ac:dyDescent="0.3">
      <c r="D210" s="13"/>
      <c r="E210" s="13"/>
      <c r="F210" s="13"/>
    </row>
    <row r="211" spans="4:6" ht="15.75" customHeight="1" x14ac:dyDescent="0.3">
      <c r="D211" s="13"/>
      <c r="E211" s="13"/>
      <c r="F211" s="13"/>
    </row>
    <row r="212" spans="4:6" ht="15.75" customHeight="1" x14ac:dyDescent="0.3">
      <c r="D212" s="13"/>
      <c r="E212" s="13"/>
      <c r="F212" s="13"/>
    </row>
    <row r="213" spans="4:6" ht="15.75" customHeight="1" x14ac:dyDescent="0.3">
      <c r="D213" s="13"/>
      <c r="E213" s="13"/>
      <c r="F213" s="13"/>
    </row>
    <row r="214" spans="4:6" ht="15.75" customHeight="1" x14ac:dyDescent="0.3">
      <c r="D214" s="13"/>
      <c r="E214" s="13"/>
      <c r="F214" s="13"/>
    </row>
    <row r="215" spans="4:6" ht="15.75" customHeight="1" x14ac:dyDescent="0.3">
      <c r="D215" s="13"/>
      <c r="E215" s="13"/>
      <c r="F215" s="13"/>
    </row>
    <row r="216" spans="4:6" ht="15.75" customHeight="1" x14ac:dyDescent="0.3">
      <c r="D216" s="13"/>
      <c r="E216" s="13"/>
      <c r="F216" s="13"/>
    </row>
    <row r="217" spans="4:6" ht="15.75" customHeight="1" x14ac:dyDescent="0.3">
      <c r="D217" s="13"/>
      <c r="E217" s="13"/>
      <c r="F217" s="13"/>
    </row>
    <row r="218" spans="4:6" ht="15.75" customHeight="1" x14ac:dyDescent="0.3">
      <c r="D218" s="13"/>
      <c r="E218" s="13"/>
      <c r="F218" s="13"/>
    </row>
    <row r="219" spans="4:6" ht="15.75" customHeight="1" x14ac:dyDescent="0.3">
      <c r="D219" s="13"/>
      <c r="E219" s="13"/>
      <c r="F219" s="13"/>
    </row>
    <row r="220" spans="4:6" ht="15.75" customHeight="1" x14ac:dyDescent="0.3">
      <c r="D220" s="13"/>
      <c r="E220" s="13"/>
      <c r="F220" s="13"/>
    </row>
    <row r="221" spans="4:6" ht="15.75" customHeight="1" x14ac:dyDescent="0.3">
      <c r="D221" s="13"/>
      <c r="E221" s="13"/>
      <c r="F221" s="13"/>
    </row>
    <row r="222" spans="4:6" ht="15.75" customHeight="1" x14ac:dyDescent="0.3">
      <c r="D222" s="13"/>
      <c r="E222" s="13"/>
      <c r="F222" s="13"/>
    </row>
    <row r="223" spans="4:6" ht="15.75" customHeight="1" x14ac:dyDescent="0.3">
      <c r="D223" s="13"/>
      <c r="E223" s="13"/>
      <c r="F223" s="13"/>
    </row>
    <row r="224" spans="4:6" ht="15.75" customHeight="1" x14ac:dyDescent="0.3">
      <c r="D224" s="13"/>
      <c r="E224" s="13"/>
      <c r="F224" s="13"/>
    </row>
    <row r="225" spans="4:6" ht="15.75" customHeight="1" x14ac:dyDescent="0.3">
      <c r="D225" s="13"/>
      <c r="E225" s="13"/>
      <c r="F225" s="13"/>
    </row>
    <row r="226" spans="4:6" ht="15.75" customHeight="1" x14ac:dyDescent="0.3">
      <c r="D226" s="13"/>
      <c r="E226" s="13"/>
      <c r="F226" s="13"/>
    </row>
    <row r="227" spans="4:6" ht="15.75" customHeight="1" x14ac:dyDescent="0.3">
      <c r="D227" s="13"/>
      <c r="E227" s="13"/>
      <c r="F227" s="13"/>
    </row>
    <row r="228" spans="4:6" ht="15.75" customHeight="1" x14ac:dyDescent="0.3">
      <c r="D228" s="13"/>
      <c r="E228" s="13"/>
      <c r="F228" s="13"/>
    </row>
    <row r="229" spans="4:6" ht="15.75" customHeight="1" x14ac:dyDescent="0.3">
      <c r="D229" s="13"/>
      <c r="E229" s="13"/>
      <c r="F229" s="13"/>
    </row>
    <row r="230" spans="4:6" ht="15.75" customHeight="1" x14ac:dyDescent="0.3">
      <c r="D230" s="13"/>
      <c r="E230" s="13"/>
      <c r="F230" s="13"/>
    </row>
    <row r="231" spans="4:6" ht="15.75" customHeight="1" x14ac:dyDescent="0.3">
      <c r="D231" s="13"/>
      <c r="E231" s="13"/>
      <c r="F231" s="13"/>
    </row>
    <row r="232" spans="4:6" ht="15.75" customHeight="1" x14ac:dyDescent="0.3">
      <c r="D232" s="13"/>
      <c r="E232" s="13"/>
      <c r="F232" s="13"/>
    </row>
    <row r="233" spans="4:6" ht="15.75" customHeight="1" x14ac:dyDescent="0.3">
      <c r="D233" s="13"/>
      <c r="E233" s="13"/>
      <c r="F233" s="13"/>
    </row>
    <row r="234" spans="4:6" ht="15.75" customHeight="1" x14ac:dyDescent="0.3">
      <c r="D234" s="13"/>
      <c r="E234" s="13"/>
      <c r="F234" s="13"/>
    </row>
    <row r="235" spans="4:6" ht="15.75" customHeight="1" x14ac:dyDescent="0.3">
      <c r="D235" s="13"/>
      <c r="E235" s="13"/>
      <c r="F235" s="13"/>
    </row>
    <row r="236" spans="4:6" ht="15.75" customHeight="1" x14ac:dyDescent="0.3">
      <c r="D236" s="13"/>
      <c r="E236" s="13"/>
      <c r="F236" s="13"/>
    </row>
    <row r="237" spans="4:6" ht="15.75" customHeight="1" x14ac:dyDescent="0.3">
      <c r="D237" s="13"/>
      <c r="E237" s="13"/>
      <c r="F237" s="13"/>
    </row>
    <row r="238" spans="4:6" ht="15.75" customHeight="1" x14ac:dyDescent="0.3">
      <c r="D238" s="13"/>
      <c r="E238" s="13"/>
      <c r="F238" s="13"/>
    </row>
    <row r="239" spans="4:6" ht="15.75" customHeight="1" x14ac:dyDescent="0.3">
      <c r="D239" s="13"/>
      <c r="E239" s="13"/>
      <c r="F239" s="13"/>
    </row>
    <row r="240" spans="4:6" ht="15.75" customHeight="1" x14ac:dyDescent="0.3">
      <c r="D240" s="13"/>
      <c r="E240" s="13"/>
      <c r="F240" s="13"/>
    </row>
    <row r="241" spans="4:6" ht="15.75" customHeight="1" x14ac:dyDescent="0.3">
      <c r="D241" s="13"/>
      <c r="E241" s="13"/>
      <c r="F241" s="13"/>
    </row>
    <row r="242" spans="4:6" ht="15.75" customHeight="1" x14ac:dyDescent="0.3">
      <c r="D242" s="13"/>
      <c r="E242" s="13"/>
      <c r="F242" s="13"/>
    </row>
    <row r="243" spans="4:6" ht="15.75" customHeight="1" x14ac:dyDescent="0.3">
      <c r="D243" s="13"/>
      <c r="E243" s="13"/>
      <c r="F243" s="13"/>
    </row>
    <row r="244" spans="4:6" ht="15.75" customHeight="1" x14ac:dyDescent="0.3">
      <c r="D244" s="13"/>
      <c r="E244" s="13"/>
      <c r="F244" s="13"/>
    </row>
    <row r="245" spans="4:6" ht="15.75" customHeight="1" x14ac:dyDescent="0.3">
      <c r="D245" s="13"/>
      <c r="E245" s="13"/>
      <c r="F245" s="13"/>
    </row>
    <row r="246" spans="4:6" ht="15.75" customHeight="1" x14ac:dyDescent="0.3">
      <c r="D246" s="13"/>
      <c r="E246" s="13"/>
      <c r="F246" s="13"/>
    </row>
    <row r="247" spans="4:6" ht="15.75" customHeight="1" x14ac:dyDescent="0.3">
      <c r="D247" s="13"/>
      <c r="E247" s="13"/>
      <c r="F247" s="13"/>
    </row>
    <row r="248" spans="4:6" ht="15.75" customHeight="1" x14ac:dyDescent="0.3">
      <c r="D248" s="13"/>
      <c r="E248" s="13"/>
      <c r="F248" s="13"/>
    </row>
    <row r="249" spans="4:6" ht="15.75" customHeight="1" x14ac:dyDescent="0.3">
      <c r="D249" s="13"/>
      <c r="E249" s="13"/>
      <c r="F249" s="13"/>
    </row>
    <row r="250" spans="4:6" ht="15.75" customHeight="1" x14ac:dyDescent="0.3">
      <c r="D250" s="13"/>
      <c r="E250" s="13"/>
      <c r="F250" s="13"/>
    </row>
    <row r="251" spans="4:6" ht="15.75" customHeight="1" x14ac:dyDescent="0.3">
      <c r="D251" s="13"/>
      <c r="E251" s="13"/>
      <c r="F251" s="13"/>
    </row>
    <row r="252" spans="4:6" ht="15.75" customHeight="1" x14ac:dyDescent="0.3">
      <c r="D252" s="13"/>
      <c r="E252" s="13"/>
      <c r="F252" s="13"/>
    </row>
    <row r="253" spans="4:6" ht="15.75" customHeight="1" x14ac:dyDescent="0.3">
      <c r="D253" s="13"/>
      <c r="E253" s="13"/>
      <c r="F253" s="13"/>
    </row>
    <row r="254" spans="4:6" ht="15.75" customHeight="1" x14ac:dyDescent="0.3">
      <c r="D254" s="13"/>
      <c r="E254" s="13"/>
      <c r="F254" s="13"/>
    </row>
    <row r="255" spans="4:6" ht="15.75" customHeight="1" x14ac:dyDescent="0.3">
      <c r="D255" s="13"/>
      <c r="E255" s="13"/>
      <c r="F255" s="13"/>
    </row>
    <row r="256" spans="4:6" ht="15.75" customHeight="1" x14ac:dyDescent="0.3">
      <c r="D256" s="13"/>
      <c r="E256" s="13"/>
      <c r="F256" s="13"/>
    </row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1">
    <mergeCell ref="A1:E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zoomScale="70" zoomScaleNormal="70" workbookViewId="0">
      <selection activeCell="C29" sqref="C29"/>
    </sheetView>
  </sheetViews>
  <sheetFormatPr defaultColWidth="11.1796875" defaultRowHeight="15" customHeight="1" x14ac:dyDescent="0.3"/>
  <cols>
    <col min="1" max="1" width="10.54296875" style="106" customWidth="1"/>
    <col min="2" max="2" width="26.36328125" style="106" customWidth="1"/>
    <col min="3" max="3" width="17.26953125" style="106" bestFit="1" customWidth="1"/>
    <col min="4" max="4" width="17.453125" style="106" customWidth="1"/>
    <col min="5" max="8" width="15" style="106" bestFit="1" customWidth="1"/>
    <col min="9" max="9" width="22" style="106" bestFit="1" customWidth="1"/>
    <col min="10" max="10" width="15.6328125" style="106" customWidth="1"/>
    <col min="11" max="11" width="19.08984375" style="106" customWidth="1"/>
    <col min="12" max="26" width="10.54296875" style="106" customWidth="1"/>
    <col min="27" max="16384" width="11.1796875" style="106"/>
  </cols>
  <sheetData>
    <row r="1" spans="1:12" ht="15.75" customHeight="1" x14ac:dyDescent="0.3">
      <c r="A1" s="104" t="s">
        <v>16</v>
      </c>
      <c r="B1" s="104"/>
      <c r="C1" s="104"/>
      <c r="D1" s="104"/>
      <c r="E1" s="104"/>
      <c r="F1" s="105"/>
      <c r="G1" s="105"/>
      <c r="H1" s="105"/>
      <c r="I1" s="105"/>
      <c r="J1" s="105"/>
      <c r="K1" s="105"/>
      <c r="L1" s="105"/>
    </row>
    <row r="2" spans="1:12" ht="15.75" customHeight="1" x14ac:dyDescent="0.3"/>
    <row r="3" spans="1:12" ht="15.75" customHeight="1" x14ac:dyDescent="0.3">
      <c r="A3" s="107" t="s">
        <v>17</v>
      </c>
      <c r="B3" s="107" t="s">
        <v>18</v>
      </c>
      <c r="C3" s="108" t="s">
        <v>14</v>
      </c>
      <c r="D3" s="109"/>
      <c r="E3" s="110" t="s">
        <v>19</v>
      </c>
      <c r="F3" s="111"/>
      <c r="G3" s="112" t="s">
        <v>20</v>
      </c>
      <c r="H3" s="111"/>
      <c r="I3" s="112" t="s">
        <v>21</v>
      </c>
      <c r="J3" s="111"/>
    </row>
    <row r="4" spans="1:12" ht="15.75" customHeight="1" x14ac:dyDescent="0.3">
      <c r="A4" s="113"/>
      <c r="B4" s="113"/>
      <c r="C4" s="114" t="s">
        <v>3</v>
      </c>
      <c r="D4" s="115" t="s">
        <v>4</v>
      </c>
      <c r="E4" s="114" t="s">
        <v>13</v>
      </c>
      <c r="F4" s="115" t="s">
        <v>15</v>
      </c>
      <c r="G4" s="116" t="s">
        <v>22</v>
      </c>
      <c r="H4" s="116" t="s">
        <v>23</v>
      </c>
      <c r="I4" s="117" t="s">
        <v>24</v>
      </c>
      <c r="J4" s="116" t="s">
        <v>25</v>
      </c>
    </row>
    <row r="5" spans="1:12" ht="15.75" customHeight="1" x14ac:dyDescent="0.3">
      <c r="A5" s="118">
        <v>1</v>
      </c>
      <c r="B5" s="118" t="str">
        <f>'LIBRO MAYOR'!D3</f>
        <v>Fondo Fijo</v>
      </c>
      <c r="C5" s="119">
        <f>'LIBRO MAYOR'!D5</f>
        <v>2500000</v>
      </c>
      <c r="D5" s="119"/>
      <c r="E5" s="119">
        <f>C5</f>
        <v>2500000</v>
      </c>
      <c r="F5" s="119"/>
      <c r="G5" s="119">
        <f>E5</f>
        <v>2500000</v>
      </c>
      <c r="I5" s="119"/>
      <c r="J5" s="119"/>
    </row>
    <row r="6" spans="1:12" ht="15.75" customHeight="1" x14ac:dyDescent="0.3">
      <c r="A6" s="120">
        <v>2</v>
      </c>
      <c r="B6" s="120" t="str">
        <f>'LIBRO MAYOR'!D11</f>
        <v>Banco GNB SA CTA CTE</v>
      </c>
      <c r="C6" s="121">
        <f>'LIBRO MAYOR'!D24</f>
        <v>631220000</v>
      </c>
      <c r="D6" s="121">
        <f>'LIBRO MAYOR'!E24</f>
        <v>320530000</v>
      </c>
      <c r="E6" s="121">
        <f>C6-D6</f>
        <v>310690000</v>
      </c>
      <c r="F6" s="121"/>
      <c r="G6" s="121">
        <f>E6</f>
        <v>310690000</v>
      </c>
      <c r="H6" s="121"/>
      <c r="I6" s="121"/>
      <c r="J6" s="121"/>
    </row>
    <row r="7" spans="1:12" ht="15.75" customHeight="1" x14ac:dyDescent="0.3">
      <c r="A7" s="120">
        <v>3</v>
      </c>
      <c r="B7" s="120" t="str">
        <f>'LIBRO MAYOR'!D26</f>
        <v>Banco ITAU S.A</v>
      </c>
      <c r="C7" s="121">
        <f>'LIBRO MAYOR'!D31</f>
        <v>100000000</v>
      </c>
      <c r="D7" s="121"/>
      <c r="E7" s="121">
        <f>C7</f>
        <v>100000000</v>
      </c>
      <c r="F7" s="121"/>
      <c r="G7" s="121">
        <f>E7</f>
        <v>100000000</v>
      </c>
      <c r="H7" s="121"/>
      <c r="I7" s="121"/>
      <c r="J7" s="121"/>
    </row>
    <row r="8" spans="1:12" ht="15.75" customHeight="1" x14ac:dyDescent="0.3">
      <c r="A8" s="120">
        <v>4</v>
      </c>
      <c r="B8" s="120" t="str">
        <f>'LIBRO MAYOR'!D34</f>
        <v>Documentos a Cobrar</v>
      </c>
      <c r="C8" s="121">
        <f>'LIBRO MAYOR'!D39</f>
        <v>135580000</v>
      </c>
      <c r="D8" s="121"/>
      <c r="E8" s="121">
        <f>C8</f>
        <v>135580000</v>
      </c>
      <c r="F8" s="121"/>
      <c r="G8" s="121">
        <f>E8</f>
        <v>135580000</v>
      </c>
      <c r="H8" s="121"/>
      <c r="I8" s="121"/>
      <c r="J8" s="121"/>
    </row>
    <row r="9" spans="1:12" ht="15.75" customHeight="1" x14ac:dyDescent="0.3">
      <c r="A9" s="120">
        <v>5</v>
      </c>
      <c r="B9" s="120" t="str">
        <f>'LIBRO MAYOR'!D42</f>
        <v>Prestamos Bancarios</v>
      </c>
      <c r="C9" s="121"/>
      <c r="D9" s="121">
        <f>'LIBRO MAYOR'!E47</f>
        <v>200000000</v>
      </c>
      <c r="E9" s="121"/>
      <c r="F9" s="121">
        <f>D9</f>
        <v>200000000</v>
      </c>
      <c r="G9" s="121"/>
      <c r="H9" s="121">
        <f>D9</f>
        <v>200000000</v>
      </c>
      <c r="I9" s="121"/>
      <c r="J9" s="121"/>
    </row>
    <row r="10" spans="1:12" ht="15.75" customHeight="1" x14ac:dyDescent="0.3">
      <c r="A10" s="120">
        <v>6</v>
      </c>
      <c r="B10" s="120" t="s">
        <v>37</v>
      </c>
      <c r="C10" s="121"/>
      <c r="D10" s="121">
        <f>'LIBRO MAYOR'!E55</f>
        <v>12328767.12328767</v>
      </c>
      <c r="E10" s="121"/>
      <c r="F10" s="121">
        <f>D10</f>
        <v>12328767.12328767</v>
      </c>
      <c r="G10" s="121"/>
      <c r="H10" s="121">
        <f>F10</f>
        <v>12328767.12328767</v>
      </c>
      <c r="I10" s="121"/>
      <c r="J10" s="121"/>
    </row>
    <row r="11" spans="1:12" ht="15.75" customHeight="1" x14ac:dyDescent="0.3">
      <c r="A11" s="120">
        <v>7</v>
      </c>
      <c r="B11" s="120" t="s">
        <v>40</v>
      </c>
      <c r="C11" s="121"/>
      <c r="D11" s="121">
        <f>'LIBRO MAYOR'!E63</f>
        <v>341471232.87671232</v>
      </c>
      <c r="E11" s="121"/>
      <c r="F11" s="121">
        <f>D11</f>
        <v>341471232.87671232</v>
      </c>
      <c r="G11" s="121"/>
      <c r="H11" s="121">
        <f>F11</f>
        <v>341471232.87671232</v>
      </c>
      <c r="I11" s="121"/>
      <c r="J11" s="121"/>
    </row>
    <row r="12" spans="1:12" ht="15.75" customHeight="1" x14ac:dyDescent="0.3">
      <c r="A12" s="120">
        <v>8</v>
      </c>
      <c r="B12" s="120" t="s">
        <v>41</v>
      </c>
      <c r="C12" s="121">
        <f>'LIBRO MAYOR'!D71</f>
        <v>2409090.9090909087</v>
      </c>
      <c r="D12" s="121"/>
      <c r="E12" s="121">
        <f>C12</f>
        <v>2409090.9090909087</v>
      </c>
      <c r="F12" s="121"/>
      <c r="G12" s="121">
        <f>E12</f>
        <v>2409090.9090909087</v>
      </c>
      <c r="H12" s="121"/>
      <c r="I12" s="121"/>
      <c r="J12" s="121"/>
    </row>
    <row r="13" spans="1:12" ht="15.75" customHeight="1" x14ac:dyDescent="0.3">
      <c r="A13" s="120">
        <v>9</v>
      </c>
      <c r="B13" s="120" t="s">
        <v>42</v>
      </c>
      <c r="C13" s="121">
        <f>'LIBRO MAYOR'!D83</f>
        <v>31230000.000000004</v>
      </c>
      <c r="D13" s="121"/>
      <c r="E13" s="121">
        <f>C13</f>
        <v>31230000.000000004</v>
      </c>
      <c r="F13" s="121"/>
      <c r="G13" s="121">
        <f>E13</f>
        <v>31230000.000000004</v>
      </c>
      <c r="H13" s="121"/>
      <c r="I13" s="121"/>
      <c r="J13" s="121"/>
    </row>
    <row r="14" spans="1:12" ht="15.75" customHeight="1" x14ac:dyDescent="0.3">
      <c r="A14" s="120">
        <v>10</v>
      </c>
      <c r="B14" s="120" t="str">
        <f>'LIBRO MAYOR'!D87</f>
        <v>Elementos de Transporte</v>
      </c>
      <c r="C14" s="121">
        <f>'LIBRO MAYOR'!D92</f>
        <v>42727272.727272727</v>
      </c>
      <c r="D14" s="121"/>
      <c r="E14" s="121">
        <f>C14</f>
        <v>42727272.727272727</v>
      </c>
      <c r="F14" s="121"/>
      <c r="G14" s="121">
        <f>E14</f>
        <v>42727272.727272727</v>
      </c>
      <c r="H14" s="121"/>
      <c r="I14" s="121"/>
      <c r="J14" s="121"/>
    </row>
    <row r="15" spans="1:12" ht="15.75" customHeight="1" x14ac:dyDescent="0.3">
      <c r="A15" s="120">
        <v>11</v>
      </c>
      <c r="B15" s="120" t="str">
        <f>'LIBRO MAYOR'!D95</f>
        <v>Documentos a Pagar</v>
      </c>
      <c r="C15" s="121"/>
      <c r="D15" s="121">
        <f>'LIBRO MAYOR'!E100</f>
        <v>23500000</v>
      </c>
      <c r="E15" s="121"/>
      <c r="F15" s="121">
        <f>D15</f>
        <v>23500000</v>
      </c>
      <c r="G15" s="121"/>
      <c r="H15" s="121">
        <f>F15</f>
        <v>23500000</v>
      </c>
      <c r="I15" s="121"/>
      <c r="J15" s="121"/>
    </row>
    <row r="16" spans="1:12" ht="15.75" customHeight="1" x14ac:dyDescent="0.3">
      <c r="A16" s="120">
        <v>12</v>
      </c>
      <c r="B16" s="120" t="str">
        <f>'LIBRO MAYOR'!D104</f>
        <v>Mercaderias</v>
      </c>
      <c r="C16" s="121">
        <f>'LIBRO MAYOR'!D110</f>
        <v>260454545.45454544</v>
      </c>
      <c r="D16" s="121">
        <f>'LIBRO MAYOR'!E110</f>
        <v>242727272.72727272</v>
      </c>
      <c r="E16" s="121">
        <f>C16-D16</f>
        <v>17727272.727272719</v>
      </c>
      <c r="F16" s="121"/>
      <c r="G16" s="121">
        <f>E16</f>
        <v>17727272.727272719</v>
      </c>
      <c r="H16" s="121"/>
      <c r="I16" s="121"/>
      <c r="J16" s="121"/>
    </row>
    <row r="17" spans="1:11" ht="15.75" customHeight="1" x14ac:dyDescent="0.3">
      <c r="A17" s="120">
        <v>13</v>
      </c>
      <c r="B17" s="120" t="str">
        <f>'LIBRO MAYOR'!D113</f>
        <v>Venta de Mercaderias</v>
      </c>
      <c r="C17" s="121"/>
      <c r="D17" s="121">
        <f>'LIBRO MAYOR'!E118</f>
        <v>286818181.36363637</v>
      </c>
      <c r="E17" s="121"/>
      <c r="F17" s="121">
        <f>D17</f>
        <v>286818181.36363637</v>
      </c>
      <c r="G17" s="121"/>
      <c r="H17" s="121"/>
      <c r="I17" s="121"/>
      <c r="J17" s="121">
        <f>F17</f>
        <v>286818181.36363637</v>
      </c>
    </row>
    <row r="18" spans="1:11" ht="15.75" customHeight="1" x14ac:dyDescent="0.3">
      <c r="A18" s="120">
        <v>14</v>
      </c>
      <c r="B18" s="120" t="str">
        <f>'LIBRO MAYOR'!D120</f>
        <v>IVA DF 10%</v>
      </c>
      <c r="C18" s="121"/>
      <c r="D18" s="121">
        <f>'LIBRO MAYOR'!E125</f>
        <v>28681818.636363637</v>
      </c>
      <c r="E18" s="121"/>
      <c r="F18" s="121">
        <f>D18</f>
        <v>28681818.636363637</v>
      </c>
      <c r="G18" s="121"/>
      <c r="H18" s="121">
        <f>F18</f>
        <v>28681818.636363637</v>
      </c>
      <c r="I18" s="121"/>
      <c r="J18" s="121"/>
    </row>
    <row r="19" spans="1:11" ht="15.75" customHeight="1" x14ac:dyDescent="0.3">
      <c r="A19" s="120">
        <v>15</v>
      </c>
      <c r="B19" s="120" t="str">
        <f>'LIBRO MAYOR'!D127</f>
        <v>Costo de Ventas</v>
      </c>
      <c r="C19" s="121">
        <f>'LIBRO MAYOR'!D132</f>
        <v>242727272.81818181</v>
      </c>
      <c r="D19" s="121"/>
      <c r="E19" s="121">
        <f t="shared" ref="E19:E25" si="0">C19</f>
        <v>242727272.81818181</v>
      </c>
      <c r="F19" s="121"/>
      <c r="G19" s="121"/>
      <c r="H19" s="121"/>
      <c r="I19" s="121">
        <f>C19</f>
        <v>242727272.81818181</v>
      </c>
      <c r="J19" s="121"/>
      <c r="K19" s="122"/>
    </row>
    <row r="20" spans="1:11" ht="15.75" customHeight="1" x14ac:dyDescent="0.3">
      <c r="A20" s="120">
        <v>16</v>
      </c>
      <c r="B20" s="120" t="str">
        <f>'LIBRO MAYOR'!D135</f>
        <v>Tasas, Patentes e Impuestos</v>
      </c>
      <c r="C20" s="121">
        <f>'LIBRO MAYOR'!D140</f>
        <v>500000</v>
      </c>
      <c r="D20" s="121"/>
      <c r="E20" s="121">
        <f t="shared" si="0"/>
        <v>500000</v>
      </c>
      <c r="F20" s="121"/>
      <c r="G20" s="121"/>
      <c r="H20" s="121"/>
      <c r="I20" s="121">
        <f t="shared" ref="I20:I25" si="1">E20</f>
        <v>500000</v>
      </c>
      <c r="J20" s="121"/>
    </row>
    <row r="21" spans="1:11" ht="15.75" customHeight="1" x14ac:dyDescent="0.3">
      <c r="A21" s="120">
        <v>17</v>
      </c>
      <c r="B21" s="120" t="str">
        <f>'LIBRO MAYOR'!D143</f>
        <v>Gastos de Limpieza</v>
      </c>
      <c r="C21" s="121">
        <f>'LIBRO MAYOR'!D148</f>
        <v>1200000</v>
      </c>
      <c r="D21" s="121"/>
      <c r="E21" s="121">
        <f t="shared" si="0"/>
        <v>1200000</v>
      </c>
      <c r="F21" s="121"/>
      <c r="G21" s="121"/>
      <c r="H21" s="121"/>
      <c r="I21" s="121">
        <f t="shared" si="1"/>
        <v>1200000</v>
      </c>
      <c r="J21" s="121"/>
    </row>
    <row r="22" spans="1:11" ht="15.75" customHeight="1" x14ac:dyDescent="0.3">
      <c r="A22" s="120">
        <v>18</v>
      </c>
      <c r="B22" s="120" t="str">
        <f>'LIBRO MAYOR'!D151</f>
        <v>Agua, Luz y  Telefono</v>
      </c>
      <c r="C22" s="121">
        <f>'LIBRO MAYOR'!D156</f>
        <v>890909.09090909082</v>
      </c>
      <c r="D22" s="121"/>
      <c r="E22" s="121">
        <f t="shared" si="0"/>
        <v>890909.09090909082</v>
      </c>
      <c r="F22" s="121"/>
      <c r="G22" s="121"/>
      <c r="H22" s="121"/>
      <c r="I22" s="121">
        <f t="shared" si="1"/>
        <v>890909.09090909082</v>
      </c>
      <c r="J22" s="121"/>
    </row>
    <row r="23" spans="1:11" ht="15.75" customHeight="1" x14ac:dyDescent="0.3">
      <c r="A23" s="120">
        <v>19</v>
      </c>
      <c r="B23" s="120" t="str">
        <f>'LIBRO MAYOR'!D158</f>
        <v>Honorarios Profesionales</v>
      </c>
      <c r="C23" s="121">
        <f>'LIBRO MAYOR'!D163</f>
        <v>4618181.8181818174</v>
      </c>
      <c r="D23" s="121"/>
      <c r="E23" s="121">
        <f t="shared" si="0"/>
        <v>4618181.8181818174</v>
      </c>
      <c r="F23" s="121"/>
      <c r="G23" s="121"/>
      <c r="H23" s="121"/>
      <c r="I23" s="121">
        <f t="shared" si="1"/>
        <v>4618181.8181818174</v>
      </c>
      <c r="J23" s="121"/>
    </row>
    <row r="24" spans="1:11" ht="15.75" customHeight="1" x14ac:dyDescent="0.3">
      <c r="A24" s="120">
        <v>20</v>
      </c>
      <c r="B24" s="123" t="str">
        <f>'LIBRO MAYOR'!D165</f>
        <v>Sueldos y Jornales</v>
      </c>
      <c r="C24" s="124">
        <f>'LIBRO MAYOR'!D170</f>
        <v>9180373</v>
      </c>
      <c r="D24" s="124"/>
      <c r="E24" s="124">
        <f t="shared" si="0"/>
        <v>9180373</v>
      </c>
      <c r="F24" s="124"/>
      <c r="G24" s="124"/>
      <c r="H24" s="124"/>
      <c r="I24" s="124">
        <f t="shared" si="1"/>
        <v>9180373</v>
      </c>
      <c r="J24" s="124"/>
    </row>
    <row r="25" spans="1:11" ht="15.75" customHeight="1" x14ac:dyDescent="0.3">
      <c r="A25" s="125">
        <v>21</v>
      </c>
      <c r="B25" s="126" t="str">
        <f>'LIBRO MAYOR'!D172</f>
        <v>Aporte Patronal</v>
      </c>
      <c r="C25" s="127">
        <f>'LIBRO MAYOR'!D177</f>
        <v>1514761.5450000002</v>
      </c>
      <c r="D25" s="127"/>
      <c r="E25" s="127">
        <f t="shared" si="0"/>
        <v>1514761.5450000002</v>
      </c>
      <c r="F25" s="127"/>
      <c r="G25" s="127"/>
      <c r="H25" s="127"/>
      <c r="I25" s="127">
        <f t="shared" si="1"/>
        <v>1514761.5450000002</v>
      </c>
      <c r="J25" s="127"/>
    </row>
    <row r="26" spans="1:11" ht="15.75" customHeight="1" x14ac:dyDescent="0.3">
      <c r="A26" s="125">
        <v>22</v>
      </c>
      <c r="B26" s="126" t="s">
        <v>99</v>
      </c>
      <c r="C26" s="127"/>
      <c r="D26" s="127">
        <f>'LIBRO MAYOR'!E184</f>
        <v>2340995.1150000002</v>
      </c>
      <c r="E26" s="127"/>
      <c r="F26" s="127">
        <f>D26</f>
        <v>2340995.1150000002</v>
      </c>
      <c r="G26" s="127"/>
      <c r="H26" s="127">
        <f>F26</f>
        <v>2340995.1150000002</v>
      </c>
      <c r="I26" s="127"/>
      <c r="J26" s="127"/>
    </row>
    <row r="27" spans="1:11" ht="15.75" customHeight="1" x14ac:dyDescent="0.3">
      <c r="A27" s="125">
        <v>23</v>
      </c>
      <c r="B27" s="126" t="s">
        <v>100</v>
      </c>
      <c r="C27" s="127"/>
      <c r="D27" s="127">
        <f>'LIBRO MAYOR'!E191</f>
        <v>8354139.4300000006</v>
      </c>
      <c r="E27" s="127"/>
      <c r="F27" s="127">
        <f>D27</f>
        <v>8354139.4300000006</v>
      </c>
      <c r="G27" s="127"/>
      <c r="H27" s="127">
        <f>F27</f>
        <v>8354139.4300000006</v>
      </c>
      <c r="I27" s="127"/>
      <c r="J27" s="127"/>
    </row>
    <row r="28" spans="1:11" ht="15.75" customHeight="1" x14ac:dyDescent="0.3">
      <c r="A28" s="128"/>
      <c r="B28" s="129" t="s">
        <v>26</v>
      </c>
      <c r="C28" s="98">
        <f>SUM(C5:C27)</f>
        <v>1466752407.3631816</v>
      </c>
      <c r="D28" s="98">
        <f t="shared" ref="D28:J28" si="2">SUM(D5:D27)</f>
        <v>1466752407.2722728</v>
      </c>
      <c r="E28" s="99">
        <f t="shared" si="2"/>
        <v>903495134.6359092</v>
      </c>
      <c r="F28" s="99">
        <f t="shared" si="2"/>
        <v>903495134.54499996</v>
      </c>
      <c r="G28" s="100">
        <f>SUM(G5:G27)</f>
        <v>642863636.36363637</v>
      </c>
      <c r="H28" s="100">
        <f t="shared" si="2"/>
        <v>616676953.18136358</v>
      </c>
      <c r="I28" s="101">
        <f t="shared" si="2"/>
        <v>260631498.27227271</v>
      </c>
      <c r="J28" s="101">
        <f t="shared" si="2"/>
        <v>286818181.36363637</v>
      </c>
    </row>
    <row r="29" spans="1:11" ht="15.75" customHeight="1" x14ac:dyDescent="0.3">
      <c r="A29" s="128"/>
      <c r="B29" s="126" t="s">
        <v>27</v>
      </c>
      <c r="C29" s="102"/>
      <c r="D29" s="102"/>
      <c r="E29" s="102"/>
      <c r="F29" s="102"/>
      <c r="G29" s="102"/>
      <c r="H29" s="102">
        <f>I29</f>
        <v>26186683.091363668</v>
      </c>
      <c r="I29" s="102">
        <f>J34</f>
        <v>26186683.091363668</v>
      </c>
      <c r="J29" s="102"/>
    </row>
    <row r="30" spans="1:11" ht="15.75" customHeight="1" x14ac:dyDescent="0.3">
      <c r="A30" s="128"/>
      <c r="B30" s="129" t="s">
        <v>28</v>
      </c>
      <c r="C30" s="98">
        <f>SUM(C28:C29)</f>
        <v>1466752407.3631816</v>
      </c>
      <c r="D30" s="98">
        <f t="shared" ref="D30:J30" si="3">SUM(D28:D29)</f>
        <v>1466752407.2722728</v>
      </c>
      <c r="E30" s="99">
        <f t="shared" si="3"/>
        <v>903495134.6359092</v>
      </c>
      <c r="F30" s="99">
        <f t="shared" si="3"/>
        <v>903495134.54499996</v>
      </c>
      <c r="G30" s="103">
        <f t="shared" si="3"/>
        <v>642863636.36363637</v>
      </c>
      <c r="H30" s="103">
        <f t="shared" si="3"/>
        <v>642863636.27272725</v>
      </c>
      <c r="I30" s="101">
        <f t="shared" si="3"/>
        <v>286818181.36363637</v>
      </c>
      <c r="J30" s="101">
        <f t="shared" si="3"/>
        <v>286818181.36363637</v>
      </c>
    </row>
    <row r="31" spans="1:11" ht="15.75" customHeight="1" x14ac:dyDescent="0.3"/>
    <row r="32" spans="1:11" ht="15.75" customHeight="1" x14ac:dyDescent="0.3">
      <c r="I32" s="106" t="s">
        <v>107</v>
      </c>
      <c r="J32" s="122">
        <f>J28</f>
        <v>286818181.36363637</v>
      </c>
    </row>
    <row r="33" spans="5:10" ht="15.75" customHeight="1" x14ac:dyDescent="0.3">
      <c r="I33" s="106" t="s">
        <v>108</v>
      </c>
      <c r="J33" s="122">
        <f>I28</f>
        <v>260631498.27227271</v>
      </c>
    </row>
    <row r="34" spans="5:10" ht="15.75" customHeight="1" x14ac:dyDescent="0.3">
      <c r="I34" s="130" t="s">
        <v>109</v>
      </c>
      <c r="J34" s="131">
        <f>J32-J33</f>
        <v>26186683.091363668</v>
      </c>
    </row>
    <row r="35" spans="5:10" ht="15.75" customHeight="1" x14ac:dyDescent="0.3">
      <c r="E35" s="129" t="s">
        <v>110</v>
      </c>
      <c r="F35" s="132">
        <f>J34*10%</f>
        <v>2618668.3091363669</v>
      </c>
    </row>
    <row r="36" spans="5:10" ht="15.75" customHeight="1" x14ac:dyDescent="0.3">
      <c r="E36" s="133" t="s">
        <v>111</v>
      </c>
      <c r="F36" s="134">
        <f>G28/H28</f>
        <v>1.0424641833089088</v>
      </c>
    </row>
    <row r="37" spans="5:10" ht="15.75" customHeight="1" x14ac:dyDescent="0.3">
      <c r="E37" s="133" t="s">
        <v>112</v>
      </c>
      <c r="F37" s="134">
        <f>H28/G28</f>
        <v>0.95926557095312159</v>
      </c>
    </row>
    <row r="38" spans="5:10" ht="15.75" customHeight="1" x14ac:dyDescent="0.3">
      <c r="E38" s="129" t="s">
        <v>113</v>
      </c>
      <c r="F38" s="135">
        <f>(F17-E19)/E19</f>
        <v>0.18164793775968249</v>
      </c>
    </row>
    <row r="39" spans="5:10" ht="15.75" customHeight="1" x14ac:dyDescent="0.3"/>
    <row r="40" spans="5:10" ht="15.75" customHeight="1" x14ac:dyDescent="0.3"/>
    <row r="41" spans="5:10" ht="15.75" customHeight="1" x14ac:dyDescent="0.3"/>
    <row r="42" spans="5:10" ht="15.75" customHeight="1" x14ac:dyDescent="0.3"/>
    <row r="43" spans="5:10" ht="15.75" customHeight="1" x14ac:dyDescent="0.3"/>
    <row r="44" spans="5:10" ht="15.75" customHeight="1" x14ac:dyDescent="0.3"/>
    <row r="45" spans="5:10" ht="15.75" customHeight="1" x14ac:dyDescent="0.3"/>
    <row r="46" spans="5:10" ht="15.75" customHeight="1" x14ac:dyDescent="0.3"/>
    <row r="47" spans="5:10" ht="15.75" customHeight="1" x14ac:dyDescent="0.3"/>
    <row r="48" spans="5:10" ht="15.75" customHeight="1" x14ac:dyDescent="0.3"/>
    <row r="49" s="106" customFormat="1" ht="15.75" customHeight="1" x14ac:dyDescent="0.3"/>
    <row r="50" s="106" customFormat="1" ht="15.75" customHeight="1" x14ac:dyDescent="0.3"/>
    <row r="51" s="106" customFormat="1" ht="15.75" customHeight="1" x14ac:dyDescent="0.3"/>
    <row r="52" s="106" customFormat="1" ht="15.75" customHeight="1" x14ac:dyDescent="0.3"/>
    <row r="53" s="106" customFormat="1" ht="15.75" customHeight="1" x14ac:dyDescent="0.3"/>
    <row r="54" s="106" customFormat="1" ht="15.75" customHeight="1" x14ac:dyDescent="0.3"/>
    <row r="55" s="106" customFormat="1" ht="15.75" customHeight="1" x14ac:dyDescent="0.3"/>
    <row r="56" s="106" customFormat="1" ht="15.75" customHeight="1" x14ac:dyDescent="0.3"/>
    <row r="57" s="106" customFormat="1" ht="15.75" customHeight="1" x14ac:dyDescent="0.3"/>
    <row r="58" s="106" customFormat="1" ht="15.75" customHeight="1" x14ac:dyDescent="0.3"/>
    <row r="59" s="106" customFormat="1" ht="15.75" customHeight="1" x14ac:dyDescent="0.3"/>
    <row r="60" s="106" customFormat="1" ht="15.75" customHeight="1" x14ac:dyDescent="0.3"/>
    <row r="61" s="106" customFormat="1" ht="15.75" customHeight="1" x14ac:dyDescent="0.3"/>
    <row r="62" s="106" customFormat="1" ht="15.75" customHeight="1" x14ac:dyDescent="0.3"/>
    <row r="63" s="106" customFormat="1" ht="15.75" customHeight="1" x14ac:dyDescent="0.3"/>
    <row r="64" s="106" customFormat="1" ht="15.75" customHeight="1" x14ac:dyDescent="0.3"/>
    <row r="65" s="106" customFormat="1" ht="15.75" customHeight="1" x14ac:dyDescent="0.3"/>
    <row r="66" s="106" customFormat="1" ht="15.75" customHeight="1" x14ac:dyDescent="0.3"/>
    <row r="67" s="106" customFormat="1" ht="15.75" customHeight="1" x14ac:dyDescent="0.3"/>
    <row r="68" s="106" customFormat="1" ht="15.75" customHeight="1" x14ac:dyDescent="0.3"/>
    <row r="69" s="106" customFormat="1" ht="15.75" customHeight="1" x14ac:dyDescent="0.3"/>
    <row r="70" s="106" customFormat="1" ht="15.75" customHeight="1" x14ac:dyDescent="0.3"/>
    <row r="71" s="106" customFormat="1" ht="15.75" customHeight="1" x14ac:dyDescent="0.3"/>
    <row r="72" s="106" customFormat="1" ht="15.75" customHeight="1" x14ac:dyDescent="0.3"/>
    <row r="73" s="106" customFormat="1" ht="15.75" customHeight="1" x14ac:dyDescent="0.3"/>
    <row r="74" s="106" customFormat="1" ht="15.75" customHeight="1" x14ac:dyDescent="0.3"/>
    <row r="75" s="106" customFormat="1" ht="15.75" customHeight="1" x14ac:dyDescent="0.3"/>
    <row r="76" s="106" customFormat="1" ht="15.75" customHeight="1" x14ac:dyDescent="0.3"/>
    <row r="77" s="106" customFormat="1" ht="15.75" customHeight="1" x14ac:dyDescent="0.3"/>
    <row r="78" s="106" customFormat="1" ht="15.75" customHeight="1" x14ac:dyDescent="0.3"/>
    <row r="79" s="106" customFormat="1" ht="15.75" customHeight="1" x14ac:dyDescent="0.3"/>
    <row r="80" s="106" customFormat="1" ht="15.75" customHeight="1" x14ac:dyDescent="0.3"/>
    <row r="81" s="106" customFormat="1" ht="15.75" customHeight="1" x14ac:dyDescent="0.3"/>
    <row r="82" s="106" customFormat="1" ht="15.75" customHeight="1" x14ac:dyDescent="0.3"/>
    <row r="83" s="106" customFormat="1" ht="15.75" customHeight="1" x14ac:dyDescent="0.3"/>
    <row r="84" s="106" customFormat="1" ht="15.75" customHeight="1" x14ac:dyDescent="0.3"/>
    <row r="85" s="106" customFormat="1" ht="15.75" customHeight="1" x14ac:dyDescent="0.3"/>
    <row r="86" s="106" customFormat="1" ht="15.75" customHeight="1" x14ac:dyDescent="0.3"/>
    <row r="87" s="106" customFormat="1" ht="15.75" customHeight="1" x14ac:dyDescent="0.3"/>
    <row r="88" s="106" customFormat="1" ht="15.75" customHeight="1" x14ac:dyDescent="0.3"/>
    <row r="89" s="106" customFormat="1" ht="15.75" customHeight="1" x14ac:dyDescent="0.3"/>
    <row r="90" s="106" customFormat="1" ht="15.75" customHeight="1" x14ac:dyDescent="0.3"/>
    <row r="91" s="106" customFormat="1" ht="15.75" customHeight="1" x14ac:dyDescent="0.3"/>
    <row r="92" s="106" customFormat="1" ht="15.75" customHeight="1" x14ac:dyDescent="0.3"/>
    <row r="93" s="106" customFormat="1" ht="15.75" customHeight="1" x14ac:dyDescent="0.3"/>
    <row r="94" s="106" customFormat="1" ht="15.75" customHeight="1" x14ac:dyDescent="0.3"/>
    <row r="95" s="106" customFormat="1" ht="15.75" customHeight="1" x14ac:dyDescent="0.3"/>
    <row r="96" s="106" customFormat="1" ht="15.75" customHeight="1" x14ac:dyDescent="0.3"/>
    <row r="97" s="106" customFormat="1" ht="15.75" customHeight="1" x14ac:dyDescent="0.3"/>
    <row r="98" s="106" customFormat="1" ht="15.75" customHeight="1" x14ac:dyDescent="0.3"/>
    <row r="99" s="106" customFormat="1" ht="15.75" customHeight="1" x14ac:dyDescent="0.3"/>
    <row r="100" s="106" customFormat="1" ht="15.75" customHeight="1" x14ac:dyDescent="0.3"/>
    <row r="101" s="106" customFormat="1" ht="15.75" customHeight="1" x14ac:dyDescent="0.3"/>
    <row r="102" s="106" customFormat="1" ht="15.75" customHeight="1" x14ac:dyDescent="0.3"/>
    <row r="103" s="106" customFormat="1" ht="15.75" customHeight="1" x14ac:dyDescent="0.3"/>
    <row r="104" s="106" customFormat="1" ht="15.75" customHeight="1" x14ac:dyDescent="0.3"/>
    <row r="105" s="106" customFormat="1" ht="15.75" customHeight="1" x14ac:dyDescent="0.3"/>
    <row r="106" s="106" customFormat="1" ht="15.75" customHeight="1" x14ac:dyDescent="0.3"/>
    <row r="107" s="106" customFormat="1" ht="15.75" customHeight="1" x14ac:dyDescent="0.3"/>
    <row r="108" s="106" customFormat="1" ht="15.75" customHeight="1" x14ac:dyDescent="0.3"/>
    <row r="109" s="106" customFormat="1" ht="15.75" customHeight="1" x14ac:dyDescent="0.3"/>
    <row r="110" s="106" customFormat="1" ht="15.75" customHeight="1" x14ac:dyDescent="0.3"/>
    <row r="111" s="106" customFormat="1" ht="15.75" customHeight="1" x14ac:dyDescent="0.3"/>
    <row r="112" s="106" customFormat="1" ht="15.75" customHeight="1" x14ac:dyDescent="0.3"/>
    <row r="113" s="106" customFormat="1" ht="15.75" customHeight="1" x14ac:dyDescent="0.3"/>
    <row r="114" s="106" customFormat="1" ht="15.75" customHeight="1" x14ac:dyDescent="0.3"/>
    <row r="115" s="106" customFormat="1" ht="15.75" customHeight="1" x14ac:dyDescent="0.3"/>
    <row r="116" s="106" customFormat="1" ht="15.75" customHeight="1" x14ac:dyDescent="0.3"/>
    <row r="117" s="106" customFormat="1" ht="15.75" customHeight="1" x14ac:dyDescent="0.3"/>
    <row r="118" s="106" customFormat="1" ht="15.75" customHeight="1" x14ac:dyDescent="0.3"/>
    <row r="119" s="106" customFormat="1" ht="15.75" customHeight="1" x14ac:dyDescent="0.3"/>
    <row r="120" s="106" customFormat="1" ht="15.75" customHeight="1" x14ac:dyDescent="0.3"/>
    <row r="121" s="106" customFormat="1" ht="15.75" customHeight="1" x14ac:dyDescent="0.3"/>
    <row r="122" s="106" customFormat="1" ht="15.75" customHeight="1" x14ac:dyDescent="0.3"/>
    <row r="123" s="106" customFormat="1" ht="15.75" customHeight="1" x14ac:dyDescent="0.3"/>
    <row r="124" s="106" customFormat="1" ht="15.75" customHeight="1" x14ac:dyDescent="0.3"/>
    <row r="125" s="106" customFormat="1" ht="15.75" customHeight="1" x14ac:dyDescent="0.3"/>
    <row r="126" s="106" customFormat="1" ht="15.75" customHeight="1" x14ac:dyDescent="0.3"/>
    <row r="127" s="106" customFormat="1" ht="15.75" customHeight="1" x14ac:dyDescent="0.3"/>
    <row r="128" s="106" customFormat="1" ht="15.75" customHeight="1" x14ac:dyDescent="0.3"/>
    <row r="129" s="106" customFormat="1" ht="15.75" customHeight="1" x14ac:dyDescent="0.3"/>
    <row r="130" s="106" customFormat="1" ht="15.75" customHeight="1" x14ac:dyDescent="0.3"/>
    <row r="131" s="106" customFormat="1" ht="15.75" customHeight="1" x14ac:dyDescent="0.3"/>
    <row r="132" s="106" customFormat="1" ht="15.75" customHeight="1" x14ac:dyDescent="0.3"/>
    <row r="133" s="106" customFormat="1" ht="15.75" customHeight="1" x14ac:dyDescent="0.3"/>
    <row r="134" s="106" customFormat="1" ht="15.75" customHeight="1" x14ac:dyDescent="0.3"/>
    <row r="135" s="106" customFormat="1" ht="15.75" customHeight="1" x14ac:dyDescent="0.3"/>
    <row r="136" s="106" customFormat="1" ht="15.75" customHeight="1" x14ac:dyDescent="0.3"/>
    <row r="137" s="106" customFormat="1" ht="15.75" customHeight="1" x14ac:dyDescent="0.3"/>
    <row r="138" s="106" customFormat="1" ht="15.75" customHeight="1" x14ac:dyDescent="0.3"/>
    <row r="139" s="106" customFormat="1" ht="15.75" customHeight="1" x14ac:dyDescent="0.3"/>
    <row r="140" s="106" customFormat="1" ht="15.75" customHeight="1" x14ac:dyDescent="0.3"/>
    <row r="141" s="106" customFormat="1" ht="15.75" customHeight="1" x14ac:dyDescent="0.3"/>
    <row r="142" s="106" customFormat="1" ht="15.75" customHeight="1" x14ac:dyDescent="0.3"/>
    <row r="143" s="106" customFormat="1" ht="15.75" customHeight="1" x14ac:dyDescent="0.3"/>
    <row r="144" s="106" customFormat="1" ht="15.75" customHeight="1" x14ac:dyDescent="0.3"/>
    <row r="145" s="106" customFormat="1" ht="15.75" customHeight="1" x14ac:dyDescent="0.3"/>
    <row r="146" s="106" customFormat="1" ht="15.75" customHeight="1" x14ac:dyDescent="0.3"/>
    <row r="147" s="106" customFormat="1" ht="15.75" customHeight="1" x14ac:dyDescent="0.3"/>
    <row r="148" s="106" customFormat="1" ht="15.75" customHeight="1" x14ac:dyDescent="0.3"/>
    <row r="149" s="106" customFormat="1" ht="15.75" customHeight="1" x14ac:dyDescent="0.3"/>
    <row r="150" s="106" customFormat="1" ht="15.75" customHeight="1" x14ac:dyDescent="0.3"/>
    <row r="151" s="106" customFormat="1" ht="15.75" customHeight="1" x14ac:dyDescent="0.3"/>
    <row r="152" s="106" customFormat="1" ht="15.75" customHeight="1" x14ac:dyDescent="0.3"/>
    <row r="153" s="106" customFormat="1" ht="15.75" customHeight="1" x14ac:dyDescent="0.3"/>
    <row r="154" s="106" customFormat="1" ht="15.75" customHeight="1" x14ac:dyDescent="0.3"/>
    <row r="155" s="106" customFormat="1" ht="15.75" customHeight="1" x14ac:dyDescent="0.3"/>
    <row r="156" s="106" customFormat="1" ht="15.75" customHeight="1" x14ac:dyDescent="0.3"/>
    <row r="157" s="106" customFormat="1" ht="15.75" customHeight="1" x14ac:dyDescent="0.3"/>
    <row r="158" s="106" customFormat="1" ht="15.75" customHeight="1" x14ac:dyDescent="0.3"/>
    <row r="159" s="106" customFormat="1" ht="15.75" customHeight="1" x14ac:dyDescent="0.3"/>
    <row r="160" s="106" customFormat="1" ht="15.75" customHeight="1" x14ac:dyDescent="0.3"/>
    <row r="161" s="106" customFormat="1" ht="15.75" customHeight="1" x14ac:dyDescent="0.3"/>
    <row r="162" s="106" customFormat="1" ht="15.75" customHeight="1" x14ac:dyDescent="0.3"/>
    <row r="163" s="106" customFormat="1" ht="15.75" customHeight="1" x14ac:dyDescent="0.3"/>
    <row r="164" s="106" customFormat="1" ht="15.75" customHeight="1" x14ac:dyDescent="0.3"/>
    <row r="165" s="106" customFormat="1" ht="15.75" customHeight="1" x14ac:dyDescent="0.3"/>
    <row r="166" s="106" customFormat="1" ht="15.75" customHeight="1" x14ac:dyDescent="0.3"/>
    <row r="167" s="106" customFormat="1" ht="15.75" customHeight="1" x14ac:dyDescent="0.3"/>
    <row r="168" s="106" customFormat="1" ht="15.75" customHeight="1" x14ac:dyDescent="0.3"/>
    <row r="169" s="106" customFormat="1" ht="15.75" customHeight="1" x14ac:dyDescent="0.3"/>
    <row r="170" s="106" customFormat="1" ht="15.75" customHeight="1" x14ac:dyDescent="0.3"/>
    <row r="171" s="106" customFormat="1" ht="15.75" customHeight="1" x14ac:dyDescent="0.3"/>
    <row r="172" s="106" customFormat="1" ht="15.75" customHeight="1" x14ac:dyDescent="0.3"/>
    <row r="173" s="106" customFormat="1" ht="15.75" customHeight="1" x14ac:dyDescent="0.3"/>
    <row r="174" s="106" customFormat="1" ht="15.75" customHeight="1" x14ac:dyDescent="0.3"/>
    <row r="175" s="106" customFormat="1" ht="15.75" customHeight="1" x14ac:dyDescent="0.3"/>
    <row r="176" s="106" customFormat="1" ht="15.75" customHeight="1" x14ac:dyDescent="0.3"/>
    <row r="177" s="106" customFormat="1" ht="15.75" customHeight="1" x14ac:dyDescent="0.3"/>
    <row r="178" s="106" customFormat="1" ht="15.75" customHeight="1" x14ac:dyDescent="0.3"/>
    <row r="179" s="106" customFormat="1" ht="15.75" customHeight="1" x14ac:dyDescent="0.3"/>
    <row r="180" s="106" customFormat="1" ht="15.75" customHeight="1" x14ac:dyDescent="0.3"/>
    <row r="181" s="106" customFormat="1" ht="15.75" customHeight="1" x14ac:dyDescent="0.3"/>
    <row r="182" s="106" customFormat="1" ht="15.75" customHeight="1" x14ac:dyDescent="0.3"/>
    <row r="183" s="106" customFormat="1" ht="15.75" customHeight="1" x14ac:dyDescent="0.3"/>
    <row r="184" s="106" customFormat="1" ht="15.75" customHeight="1" x14ac:dyDescent="0.3"/>
    <row r="185" s="106" customFormat="1" ht="15.75" customHeight="1" x14ac:dyDescent="0.3"/>
    <row r="186" s="106" customFormat="1" ht="15.75" customHeight="1" x14ac:dyDescent="0.3"/>
    <row r="187" s="106" customFormat="1" ht="15.75" customHeight="1" x14ac:dyDescent="0.3"/>
    <row r="188" s="106" customFormat="1" ht="15.75" customHeight="1" x14ac:dyDescent="0.3"/>
    <row r="189" s="106" customFormat="1" ht="15.75" customHeight="1" x14ac:dyDescent="0.3"/>
    <row r="190" s="106" customFormat="1" ht="15.75" customHeight="1" x14ac:dyDescent="0.3"/>
    <row r="191" s="106" customFormat="1" ht="15.75" customHeight="1" x14ac:dyDescent="0.3"/>
    <row r="192" s="106" customFormat="1" ht="15.75" customHeight="1" x14ac:dyDescent="0.3"/>
    <row r="193" s="106" customFormat="1" ht="15.75" customHeight="1" x14ac:dyDescent="0.3"/>
    <row r="194" s="106" customFormat="1" ht="15.75" customHeight="1" x14ac:dyDescent="0.3"/>
    <row r="195" s="106" customFormat="1" ht="15.75" customHeight="1" x14ac:dyDescent="0.3"/>
    <row r="196" s="106" customFormat="1" ht="15.75" customHeight="1" x14ac:dyDescent="0.3"/>
    <row r="197" s="106" customFormat="1" ht="15.75" customHeight="1" x14ac:dyDescent="0.3"/>
    <row r="198" s="106" customFormat="1" ht="15.75" customHeight="1" x14ac:dyDescent="0.3"/>
    <row r="199" s="106" customFormat="1" ht="15.75" customHeight="1" x14ac:dyDescent="0.3"/>
    <row r="200" s="106" customFormat="1" ht="15.75" customHeight="1" x14ac:dyDescent="0.3"/>
    <row r="201" s="106" customFormat="1" ht="15.75" customHeight="1" x14ac:dyDescent="0.3"/>
    <row r="202" s="106" customFormat="1" ht="15.75" customHeight="1" x14ac:dyDescent="0.3"/>
    <row r="203" s="106" customFormat="1" ht="15.75" customHeight="1" x14ac:dyDescent="0.3"/>
    <row r="204" s="106" customFormat="1" ht="15.75" customHeight="1" x14ac:dyDescent="0.3"/>
    <row r="205" s="106" customFormat="1" ht="15.75" customHeight="1" x14ac:dyDescent="0.3"/>
    <row r="206" s="106" customFormat="1" ht="15.75" customHeight="1" x14ac:dyDescent="0.3"/>
    <row r="207" s="106" customFormat="1" ht="15.75" customHeight="1" x14ac:dyDescent="0.3"/>
    <row r="208" s="106" customFormat="1" ht="15.75" customHeight="1" x14ac:dyDescent="0.3"/>
    <row r="209" s="106" customFormat="1" ht="15.75" customHeight="1" x14ac:dyDescent="0.3"/>
    <row r="210" s="106" customFormat="1" ht="15.75" customHeight="1" x14ac:dyDescent="0.3"/>
    <row r="211" s="106" customFormat="1" ht="15.75" customHeight="1" x14ac:dyDescent="0.3"/>
    <row r="212" s="106" customFormat="1" ht="15.75" customHeight="1" x14ac:dyDescent="0.3"/>
    <row r="213" s="106" customFormat="1" ht="15.75" customHeight="1" x14ac:dyDescent="0.3"/>
    <row r="214" s="106" customFormat="1" ht="15.75" customHeight="1" x14ac:dyDescent="0.3"/>
    <row r="215" s="106" customFormat="1" ht="15.75" customHeight="1" x14ac:dyDescent="0.3"/>
    <row r="216" s="106" customFormat="1" ht="15.75" customHeight="1" x14ac:dyDescent="0.3"/>
    <row r="217" s="106" customFormat="1" ht="15.75" customHeight="1" x14ac:dyDescent="0.3"/>
    <row r="218" s="106" customFormat="1" ht="15.75" customHeight="1" x14ac:dyDescent="0.3"/>
    <row r="219" s="106" customFormat="1" ht="15.75" customHeight="1" x14ac:dyDescent="0.3"/>
    <row r="220" s="106" customFormat="1" ht="15.75" customHeight="1" x14ac:dyDescent="0.3"/>
    <row r="221" s="106" customFormat="1" ht="15.75" customHeight="1" x14ac:dyDescent="0.3"/>
    <row r="222" s="106" customFormat="1" ht="15.75" customHeight="1" x14ac:dyDescent="0.3"/>
    <row r="223" s="106" customFormat="1" ht="15.75" customHeight="1" x14ac:dyDescent="0.3"/>
    <row r="224" s="106" customFormat="1" ht="15.75" customHeight="1" x14ac:dyDescent="0.3"/>
    <row r="225" s="106" customFormat="1" ht="15.75" customHeight="1" x14ac:dyDescent="0.3"/>
    <row r="226" s="106" customFormat="1" ht="15.75" customHeight="1" x14ac:dyDescent="0.3"/>
    <row r="227" s="106" customFormat="1" ht="15.75" customHeight="1" x14ac:dyDescent="0.3"/>
    <row r="228" s="106" customFormat="1" ht="15.75" customHeight="1" x14ac:dyDescent="0.3"/>
    <row r="229" s="106" customFormat="1" ht="15.75" customHeight="1" x14ac:dyDescent="0.3"/>
    <row r="230" s="106" customFormat="1" ht="15.75" customHeight="1" x14ac:dyDescent="0.3"/>
    <row r="231" s="106" customFormat="1" ht="15.75" customHeight="1" x14ac:dyDescent="0.3"/>
    <row r="232" s="106" customFormat="1" ht="15.75" customHeight="1" x14ac:dyDescent="0.3"/>
    <row r="233" s="106" customFormat="1" ht="15.75" customHeight="1" x14ac:dyDescent="0.3"/>
    <row r="234" s="106" customFormat="1" ht="15.75" customHeight="1" x14ac:dyDescent="0.3"/>
    <row r="235" s="106" customFormat="1" ht="15.75" customHeight="1" x14ac:dyDescent="0.3"/>
    <row r="236" s="106" customFormat="1" ht="15.75" customHeight="1" x14ac:dyDescent="0.3"/>
    <row r="237" s="106" customFormat="1" ht="15.75" customHeight="1" x14ac:dyDescent="0.3"/>
    <row r="238" s="106" customFormat="1" ht="15.75" customHeight="1" x14ac:dyDescent="0.3"/>
    <row r="239" s="106" customFormat="1" ht="15.75" customHeight="1" x14ac:dyDescent="0.3"/>
    <row r="240" s="106" customFormat="1" ht="15.75" customHeight="1" x14ac:dyDescent="0.3"/>
    <row r="241" s="106" customFormat="1" ht="15.75" customHeight="1" x14ac:dyDescent="0.3"/>
    <row r="242" s="106" customFormat="1" ht="15.75" customHeight="1" x14ac:dyDescent="0.3"/>
    <row r="243" s="106" customFormat="1" ht="15.75" customHeight="1" x14ac:dyDescent="0.3"/>
    <row r="244" s="106" customFormat="1" ht="15.75" customHeight="1" x14ac:dyDescent="0.3"/>
    <row r="245" s="106" customFormat="1" ht="15.75" customHeight="1" x14ac:dyDescent="0.3"/>
    <row r="246" s="106" customFormat="1" ht="15.75" customHeight="1" x14ac:dyDescent="0.3"/>
    <row r="247" s="106" customFormat="1" ht="15.75" customHeight="1" x14ac:dyDescent="0.3"/>
    <row r="248" s="106" customFormat="1" ht="15.75" customHeight="1" x14ac:dyDescent="0.3"/>
    <row r="249" s="106" customFormat="1" ht="15.75" customHeight="1" x14ac:dyDescent="0.3"/>
    <row r="250" s="106" customFormat="1" ht="15.75" customHeight="1" x14ac:dyDescent="0.3"/>
    <row r="251" s="106" customFormat="1" ht="15.75" customHeight="1" x14ac:dyDescent="0.3"/>
    <row r="252" s="106" customFormat="1" ht="15.75" customHeight="1" x14ac:dyDescent="0.3"/>
    <row r="253" s="106" customFormat="1" ht="15.75" customHeight="1" x14ac:dyDescent="0.3"/>
    <row r="254" s="106" customFormat="1" ht="15.75" customHeight="1" x14ac:dyDescent="0.3"/>
    <row r="255" s="106" customFormat="1" ht="15.75" customHeight="1" x14ac:dyDescent="0.3"/>
    <row r="256" s="106" customFormat="1" ht="15.75" customHeight="1" x14ac:dyDescent="0.3"/>
    <row r="257" s="106" customFormat="1" ht="15.75" customHeight="1" x14ac:dyDescent="0.3"/>
    <row r="258" s="106" customFormat="1" ht="15.75" customHeight="1" x14ac:dyDescent="0.3"/>
    <row r="259" s="106" customFormat="1" ht="15.75" customHeight="1" x14ac:dyDescent="0.3"/>
    <row r="260" s="106" customFormat="1" ht="15.75" customHeight="1" x14ac:dyDescent="0.3"/>
    <row r="261" s="106" customFormat="1" ht="15.75" customHeight="1" x14ac:dyDescent="0.3"/>
    <row r="262" s="106" customFormat="1" ht="15.75" customHeight="1" x14ac:dyDescent="0.3"/>
    <row r="263" s="106" customFormat="1" ht="15.75" customHeight="1" x14ac:dyDescent="0.3"/>
    <row r="264" s="106" customFormat="1" ht="15.75" customHeight="1" x14ac:dyDescent="0.3"/>
    <row r="265" s="106" customFormat="1" ht="15.75" customHeight="1" x14ac:dyDescent="0.3"/>
    <row r="266" s="106" customFormat="1" ht="15.75" customHeight="1" x14ac:dyDescent="0.3"/>
    <row r="267" s="106" customFormat="1" ht="15.75" customHeight="1" x14ac:dyDescent="0.3"/>
    <row r="268" s="106" customFormat="1" ht="15.75" customHeight="1" x14ac:dyDescent="0.3"/>
    <row r="269" s="106" customFormat="1" ht="15.75" customHeight="1" x14ac:dyDescent="0.3"/>
    <row r="270" s="106" customFormat="1" ht="15.75" customHeight="1" x14ac:dyDescent="0.3"/>
    <row r="271" s="106" customFormat="1" ht="15.75" customHeight="1" x14ac:dyDescent="0.3"/>
    <row r="272" s="106" customFormat="1" ht="15.75" customHeight="1" x14ac:dyDescent="0.3"/>
    <row r="273" s="106" customFormat="1" ht="15.75" customHeight="1" x14ac:dyDescent="0.3"/>
    <row r="274" s="106" customFormat="1" ht="15.75" customHeight="1" x14ac:dyDescent="0.3"/>
    <row r="275" s="106" customFormat="1" ht="15.75" customHeight="1" x14ac:dyDescent="0.3"/>
    <row r="276" s="106" customFormat="1" ht="15.75" customHeight="1" x14ac:dyDescent="0.3"/>
    <row r="277" s="106" customFormat="1" ht="15.75" customHeight="1" x14ac:dyDescent="0.3"/>
    <row r="278" s="106" customFormat="1" ht="15.75" customHeight="1" x14ac:dyDescent="0.3"/>
    <row r="279" s="106" customFormat="1" ht="15.75" customHeight="1" x14ac:dyDescent="0.3"/>
    <row r="280" s="106" customFormat="1" ht="15.75" customHeight="1" x14ac:dyDescent="0.3"/>
    <row r="281" s="106" customFormat="1" ht="15.75" customHeight="1" x14ac:dyDescent="0.3"/>
    <row r="282" s="106" customFormat="1" ht="15.75" customHeight="1" x14ac:dyDescent="0.3"/>
    <row r="283" s="106" customFormat="1" ht="15.75" customHeight="1" x14ac:dyDescent="0.3"/>
    <row r="284" s="106" customFormat="1" ht="15.75" customHeight="1" x14ac:dyDescent="0.3"/>
    <row r="285" s="106" customFormat="1" ht="15.75" customHeight="1" x14ac:dyDescent="0.3"/>
    <row r="286" s="106" customFormat="1" ht="15.75" customHeight="1" x14ac:dyDescent="0.3"/>
    <row r="287" s="106" customFormat="1" ht="15.75" customHeight="1" x14ac:dyDescent="0.3"/>
    <row r="288" s="106" customFormat="1" ht="15.75" customHeight="1" x14ac:dyDescent="0.3"/>
    <row r="289" s="106" customFormat="1" ht="15.75" customHeight="1" x14ac:dyDescent="0.3"/>
    <row r="290" s="106" customFormat="1" ht="15.75" customHeight="1" x14ac:dyDescent="0.3"/>
    <row r="291" s="106" customFormat="1" ht="15.75" customHeight="1" x14ac:dyDescent="0.3"/>
    <row r="292" s="106" customFormat="1" ht="15.75" customHeight="1" x14ac:dyDescent="0.3"/>
    <row r="293" s="106" customFormat="1" ht="15.75" customHeight="1" x14ac:dyDescent="0.3"/>
    <row r="294" s="106" customFormat="1" ht="15.75" customHeight="1" x14ac:dyDescent="0.3"/>
    <row r="295" s="106" customFormat="1" ht="15.75" customHeight="1" x14ac:dyDescent="0.3"/>
    <row r="296" s="106" customFormat="1" ht="15.75" customHeight="1" x14ac:dyDescent="0.3"/>
    <row r="297" s="106" customFormat="1" ht="15.75" customHeight="1" x14ac:dyDescent="0.3"/>
    <row r="298" s="106" customFormat="1" ht="15.75" customHeight="1" x14ac:dyDescent="0.3"/>
    <row r="299" s="106" customFormat="1" ht="15.75" customHeight="1" x14ac:dyDescent="0.3"/>
    <row r="300" s="106" customFormat="1" ht="15.75" customHeight="1" x14ac:dyDescent="0.3"/>
    <row r="301" s="106" customFormat="1" ht="15.75" customHeight="1" x14ac:dyDescent="0.3"/>
    <row r="302" s="106" customFormat="1" ht="15.75" customHeight="1" x14ac:dyDescent="0.3"/>
    <row r="303" s="106" customFormat="1" ht="15.75" customHeight="1" x14ac:dyDescent="0.3"/>
    <row r="304" s="106" customFormat="1" ht="15.75" customHeight="1" x14ac:dyDescent="0.3"/>
    <row r="305" s="106" customFormat="1" ht="15.75" customHeight="1" x14ac:dyDescent="0.3"/>
    <row r="306" s="106" customFormat="1" ht="15.75" customHeight="1" x14ac:dyDescent="0.3"/>
    <row r="307" s="106" customFormat="1" ht="15.75" customHeight="1" x14ac:dyDescent="0.3"/>
    <row r="308" s="106" customFormat="1" ht="15.75" customHeight="1" x14ac:dyDescent="0.3"/>
    <row r="309" s="106" customFormat="1" ht="15.75" customHeight="1" x14ac:dyDescent="0.3"/>
    <row r="310" s="106" customFormat="1" ht="15.75" customHeight="1" x14ac:dyDescent="0.3"/>
    <row r="311" s="106" customFormat="1" ht="15.75" customHeight="1" x14ac:dyDescent="0.3"/>
    <row r="312" s="106" customFormat="1" ht="15.75" customHeight="1" x14ac:dyDescent="0.3"/>
    <row r="313" s="106" customFormat="1" ht="15.75" customHeight="1" x14ac:dyDescent="0.3"/>
    <row r="314" s="106" customFormat="1" ht="15.75" customHeight="1" x14ac:dyDescent="0.3"/>
    <row r="315" s="106" customFormat="1" ht="15.75" customHeight="1" x14ac:dyDescent="0.3"/>
    <row r="316" s="106" customFormat="1" ht="15.75" customHeight="1" x14ac:dyDescent="0.3"/>
    <row r="317" s="106" customFormat="1" ht="15.75" customHeight="1" x14ac:dyDescent="0.3"/>
    <row r="318" s="106" customFormat="1" ht="15.75" customHeight="1" x14ac:dyDescent="0.3"/>
    <row r="319" s="106" customFormat="1" ht="15.75" customHeight="1" x14ac:dyDescent="0.3"/>
    <row r="320" s="106" customFormat="1" ht="15.75" customHeight="1" x14ac:dyDescent="0.3"/>
    <row r="321" s="106" customFormat="1" ht="15.75" customHeight="1" x14ac:dyDescent="0.3"/>
    <row r="322" s="106" customFormat="1" ht="15.75" customHeight="1" x14ac:dyDescent="0.3"/>
    <row r="323" s="106" customFormat="1" ht="15.75" customHeight="1" x14ac:dyDescent="0.3"/>
    <row r="324" s="106" customFormat="1" ht="15.75" customHeight="1" x14ac:dyDescent="0.3"/>
    <row r="325" s="106" customFormat="1" ht="15.75" customHeight="1" x14ac:dyDescent="0.3"/>
    <row r="326" s="106" customFormat="1" ht="15.75" customHeight="1" x14ac:dyDescent="0.3"/>
    <row r="327" s="106" customFormat="1" ht="15.75" customHeight="1" x14ac:dyDescent="0.3"/>
    <row r="328" s="106" customFormat="1" ht="15.75" customHeight="1" x14ac:dyDescent="0.3"/>
    <row r="329" s="106" customFormat="1" ht="15.75" customHeight="1" x14ac:dyDescent="0.3"/>
    <row r="330" s="106" customFormat="1" ht="15.75" customHeight="1" x14ac:dyDescent="0.3"/>
    <row r="331" s="106" customFormat="1" ht="15.75" customHeight="1" x14ac:dyDescent="0.3"/>
    <row r="332" s="106" customFormat="1" ht="15.75" customHeight="1" x14ac:dyDescent="0.3"/>
    <row r="333" s="106" customFormat="1" ht="15.75" customHeight="1" x14ac:dyDescent="0.3"/>
    <row r="334" s="106" customFormat="1" ht="15.75" customHeight="1" x14ac:dyDescent="0.3"/>
    <row r="335" s="106" customFormat="1" ht="15.75" customHeight="1" x14ac:dyDescent="0.3"/>
    <row r="336" s="106" customFormat="1" ht="15.75" customHeight="1" x14ac:dyDescent="0.3"/>
    <row r="337" s="106" customFormat="1" ht="15.75" customHeight="1" x14ac:dyDescent="0.3"/>
    <row r="338" s="106" customFormat="1" ht="15.75" customHeight="1" x14ac:dyDescent="0.3"/>
    <row r="339" s="106" customFormat="1" ht="15.75" customHeight="1" x14ac:dyDescent="0.3"/>
    <row r="340" s="106" customFormat="1" ht="15.75" customHeight="1" x14ac:dyDescent="0.3"/>
    <row r="341" s="106" customFormat="1" ht="15.75" customHeight="1" x14ac:dyDescent="0.3"/>
    <row r="342" s="106" customFormat="1" ht="15.75" customHeight="1" x14ac:dyDescent="0.3"/>
    <row r="343" s="106" customFormat="1" ht="15.75" customHeight="1" x14ac:dyDescent="0.3"/>
    <row r="344" s="106" customFormat="1" ht="15.75" customHeight="1" x14ac:dyDescent="0.3"/>
    <row r="345" s="106" customFormat="1" ht="15.75" customHeight="1" x14ac:dyDescent="0.3"/>
    <row r="346" s="106" customFormat="1" ht="15.75" customHeight="1" x14ac:dyDescent="0.3"/>
    <row r="347" s="106" customFormat="1" ht="15.75" customHeight="1" x14ac:dyDescent="0.3"/>
    <row r="348" s="106" customFormat="1" ht="15.75" customHeight="1" x14ac:dyDescent="0.3"/>
    <row r="349" s="106" customFormat="1" ht="15.75" customHeight="1" x14ac:dyDescent="0.3"/>
    <row r="350" s="106" customFormat="1" ht="15.75" customHeight="1" x14ac:dyDescent="0.3"/>
    <row r="351" s="106" customFormat="1" ht="15.75" customHeight="1" x14ac:dyDescent="0.3"/>
    <row r="352" s="106" customFormat="1" ht="15.75" customHeight="1" x14ac:dyDescent="0.3"/>
    <row r="353" s="106" customFormat="1" ht="15.75" customHeight="1" x14ac:dyDescent="0.3"/>
    <row r="354" s="106" customFormat="1" ht="15.75" customHeight="1" x14ac:dyDescent="0.3"/>
    <row r="355" s="106" customFormat="1" ht="15.75" customHeight="1" x14ac:dyDescent="0.3"/>
    <row r="356" s="106" customFormat="1" ht="15.75" customHeight="1" x14ac:dyDescent="0.3"/>
    <row r="357" s="106" customFormat="1" ht="15.75" customHeight="1" x14ac:dyDescent="0.3"/>
    <row r="358" s="106" customFormat="1" ht="15.75" customHeight="1" x14ac:dyDescent="0.3"/>
    <row r="359" s="106" customFormat="1" ht="15.75" customHeight="1" x14ac:dyDescent="0.3"/>
    <row r="360" s="106" customFormat="1" ht="15.75" customHeight="1" x14ac:dyDescent="0.3"/>
    <row r="361" s="106" customFormat="1" ht="15.75" customHeight="1" x14ac:dyDescent="0.3"/>
    <row r="362" s="106" customFormat="1" ht="15.75" customHeight="1" x14ac:dyDescent="0.3"/>
    <row r="363" s="106" customFormat="1" ht="15.75" customHeight="1" x14ac:dyDescent="0.3"/>
    <row r="364" s="106" customFormat="1" ht="15.75" customHeight="1" x14ac:dyDescent="0.3"/>
    <row r="365" s="106" customFormat="1" ht="15.75" customHeight="1" x14ac:dyDescent="0.3"/>
    <row r="366" s="106" customFormat="1" ht="15.75" customHeight="1" x14ac:dyDescent="0.3"/>
    <row r="367" s="106" customFormat="1" ht="15.75" customHeight="1" x14ac:dyDescent="0.3"/>
    <row r="368" s="106" customFormat="1" ht="15.75" customHeight="1" x14ac:dyDescent="0.3"/>
    <row r="369" s="106" customFormat="1" ht="15.75" customHeight="1" x14ac:dyDescent="0.3"/>
    <row r="370" s="106" customFormat="1" ht="15.75" customHeight="1" x14ac:dyDescent="0.3"/>
    <row r="371" s="106" customFormat="1" ht="15.75" customHeight="1" x14ac:dyDescent="0.3"/>
    <row r="372" s="106" customFormat="1" ht="15.75" customHeight="1" x14ac:dyDescent="0.3"/>
    <row r="373" s="106" customFormat="1" ht="15.75" customHeight="1" x14ac:dyDescent="0.3"/>
    <row r="374" s="106" customFormat="1" ht="15.75" customHeight="1" x14ac:dyDescent="0.3"/>
    <row r="375" s="106" customFormat="1" ht="15.75" customHeight="1" x14ac:dyDescent="0.3"/>
    <row r="376" s="106" customFormat="1" ht="15.75" customHeight="1" x14ac:dyDescent="0.3"/>
    <row r="377" s="106" customFormat="1" ht="15.75" customHeight="1" x14ac:dyDescent="0.3"/>
    <row r="378" s="106" customFormat="1" ht="15.75" customHeight="1" x14ac:dyDescent="0.3"/>
    <row r="379" s="106" customFormat="1" ht="15.75" customHeight="1" x14ac:dyDescent="0.3"/>
    <row r="380" s="106" customFormat="1" ht="15.75" customHeight="1" x14ac:dyDescent="0.3"/>
    <row r="381" s="106" customFormat="1" ht="15.75" customHeight="1" x14ac:dyDescent="0.3"/>
    <row r="382" s="106" customFormat="1" ht="15.75" customHeight="1" x14ac:dyDescent="0.3"/>
    <row r="383" s="106" customFormat="1" ht="15.75" customHeight="1" x14ac:dyDescent="0.3"/>
    <row r="384" s="106" customFormat="1" ht="15.75" customHeight="1" x14ac:dyDescent="0.3"/>
    <row r="385" s="106" customFormat="1" ht="15.75" customHeight="1" x14ac:dyDescent="0.3"/>
    <row r="386" s="106" customFormat="1" ht="15.75" customHeight="1" x14ac:dyDescent="0.3"/>
    <row r="387" s="106" customFormat="1" ht="15.75" customHeight="1" x14ac:dyDescent="0.3"/>
    <row r="388" s="106" customFormat="1" ht="15.75" customHeight="1" x14ac:dyDescent="0.3"/>
    <row r="389" s="106" customFormat="1" ht="15.75" customHeight="1" x14ac:dyDescent="0.3"/>
    <row r="390" s="106" customFormat="1" ht="15.75" customHeight="1" x14ac:dyDescent="0.3"/>
    <row r="391" s="106" customFormat="1" ht="15.75" customHeight="1" x14ac:dyDescent="0.3"/>
    <row r="392" s="106" customFormat="1" ht="15.75" customHeight="1" x14ac:dyDescent="0.3"/>
    <row r="393" s="106" customFormat="1" ht="15.75" customHeight="1" x14ac:dyDescent="0.3"/>
    <row r="394" s="106" customFormat="1" ht="15.75" customHeight="1" x14ac:dyDescent="0.3"/>
    <row r="395" s="106" customFormat="1" ht="15.75" customHeight="1" x14ac:dyDescent="0.3"/>
    <row r="396" s="106" customFormat="1" ht="15.75" customHeight="1" x14ac:dyDescent="0.3"/>
    <row r="397" s="106" customFormat="1" ht="15.75" customHeight="1" x14ac:dyDescent="0.3"/>
    <row r="398" s="106" customFormat="1" ht="15.75" customHeight="1" x14ac:dyDescent="0.3"/>
    <row r="399" s="106" customFormat="1" ht="15.75" customHeight="1" x14ac:dyDescent="0.3"/>
    <row r="400" s="106" customFormat="1" ht="15.75" customHeight="1" x14ac:dyDescent="0.3"/>
    <row r="401" s="106" customFormat="1" ht="15.75" customHeight="1" x14ac:dyDescent="0.3"/>
    <row r="402" s="106" customFormat="1" ht="15.75" customHeight="1" x14ac:dyDescent="0.3"/>
    <row r="403" s="106" customFormat="1" ht="15.75" customHeight="1" x14ac:dyDescent="0.3"/>
    <row r="404" s="106" customFormat="1" ht="15.75" customHeight="1" x14ac:dyDescent="0.3"/>
    <row r="405" s="106" customFormat="1" ht="15.75" customHeight="1" x14ac:dyDescent="0.3"/>
    <row r="406" s="106" customFormat="1" ht="15.75" customHeight="1" x14ac:dyDescent="0.3"/>
    <row r="407" s="106" customFormat="1" ht="15.75" customHeight="1" x14ac:dyDescent="0.3"/>
    <row r="408" s="106" customFormat="1" ht="15.75" customHeight="1" x14ac:dyDescent="0.3"/>
    <row r="409" s="106" customFormat="1" ht="15.75" customHeight="1" x14ac:dyDescent="0.3"/>
    <row r="410" s="106" customFormat="1" ht="15.75" customHeight="1" x14ac:dyDescent="0.3"/>
    <row r="411" s="106" customFormat="1" ht="15.75" customHeight="1" x14ac:dyDescent="0.3"/>
    <row r="412" s="106" customFormat="1" ht="15.75" customHeight="1" x14ac:dyDescent="0.3"/>
    <row r="413" s="106" customFormat="1" ht="15.75" customHeight="1" x14ac:dyDescent="0.3"/>
    <row r="414" s="106" customFormat="1" ht="15.75" customHeight="1" x14ac:dyDescent="0.3"/>
    <row r="415" s="106" customFormat="1" ht="15.75" customHeight="1" x14ac:dyDescent="0.3"/>
    <row r="416" s="106" customFormat="1" ht="15.75" customHeight="1" x14ac:dyDescent="0.3"/>
    <row r="417" s="106" customFormat="1" ht="15.75" customHeight="1" x14ac:dyDescent="0.3"/>
    <row r="418" s="106" customFormat="1" ht="15.75" customHeight="1" x14ac:dyDescent="0.3"/>
    <row r="419" s="106" customFormat="1" ht="15.75" customHeight="1" x14ac:dyDescent="0.3"/>
    <row r="420" s="106" customFormat="1" ht="15.75" customHeight="1" x14ac:dyDescent="0.3"/>
    <row r="421" s="106" customFormat="1" ht="15.75" customHeight="1" x14ac:dyDescent="0.3"/>
    <row r="422" s="106" customFormat="1" ht="15.75" customHeight="1" x14ac:dyDescent="0.3"/>
    <row r="423" s="106" customFormat="1" ht="15.75" customHeight="1" x14ac:dyDescent="0.3"/>
    <row r="424" s="106" customFormat="1" ht="15.75" customHeight="1" x14ac:dyDescent="0.3"/>
    <row r="425" s="106" customFormat="1" ht="15.75" customHeight="1" x14ac:dyDescent="0.3"/>
    <row r="426" s="106" customFormat="1" ht="15.75" customHeight="1" x14ac:dyDescent="0.3"/>
    <row r="427" s="106" customFormat="1" ht="15.75" customHeight="1" x14ac:dyDescent="0.3"/>
    <row r="428" s="106" customFormat="1" ht="15.75" customHeight="1" x14ac:dyDescent="0.3"/>
    <row r="429" s="106" customFormat="1" ht="15.75" customHeight="1" x14ac:dyDescent="0.3"/>
    <row r="430" s="106" customFormat="1" ht="15.75" customHeight="1" x14ac:dyDescent="0.3"/>
    <row r="431" s="106" customFormat="1" ht="15.75" customHeight="1" x14ac:dyDescent="0.3"/>
    <row r="432" s="106" customFormat="1" ht="15.75" customHeight="1" x14ac:dyDescent="0.3"/>
    <row r="433" s="106" customFormat="1" ht="15.75" customHeight="1" x14ac:dyDescent="0.3"/>
    <row r="434" s="106" customFormat="1" ht="15.75" customHeight="1" x14ac:dyDescent="0.3"/>
    <row r="435" s="106" customFormat="1" ht="15.75" customHeight="1" x14ac:dyDescent="0.3"/>
    <row r="436" s="106" customFormat="1" ht="15.75" customHeight="1" x14ac:dyDescent="0.3"/>
    <row r="437" s="106" customFormat="1" ht="15.75" customHeight="1" x14ac:dyDescent="0.3"/>
    <row r="438" s="106" customFormat="1" ht="15.75" customHeight="1" x14ac:dyDescent="0.3"/>
    <row r="439" s="106" customFormat="1" ht="15.75" customHeight="1" x14ac:dyDescent="0.3"/>
    <row r="440" s="106" customFormat="1" ht="15.75" customHeight="1" x14ac:dyDescent="0.3"/>
    <row r="441" s="106" customFormat="1" ht="15.75" customHeight="1" x14ac:dyDescent="0.3"/>
    <row r="442" s="106" customFormat="1" ht="15.75" customHeight="1" x14ac:dyDescent="0.3"/>
    <row r="443" s="106" customFormat="1" ht="15.75" customHeight="1" x14ac:dyDescent="0.3"/>
    <row r="444" s="106" customFormat="1" ht="15.75" customHeight="1" x14ac:dyDescent="0.3"/>
    <row r="445" s="106" customFormat="1" ht="15.75" customHeight="1" x14ac:dyDescent="0.3"/>
    <row r="446" s="106" customFormat="1" ht="15.75" customHeight="1" x14ac:dyDescent="0.3"/>
    <row r="447" s="106" customFormat="1" ht="15.75" customHeight="1" x14ac:dyDescent="0.3"/>
    <row r="448" s="106" customFormat="1" ht="15.75" customHeight="1" x14ac:dyDescent="0.3"/>
    <row r="449" s="106" customFormat="1" ht="15.75" customHeight="1" x14ac:dyDescent="0.3"/>
    <row r="450" s="106" customFormat="1" ht="15.75" customHeight="1" x14ac:dyDescent="0.3"/>
    <row r="451" s="106" customFormat="1" ht="15.75" customHeight="1" x14ac:dyDescent="0.3"/>
    <row r="452" s="106" customFormat="1" ht="15.75" customHeight="1" x14ac:dyDescent="0.3"/>
    <row r="453" s="106" customFormat="1" ht="15.75" customHeight="1" x14ac:dyDescent="0.3"/>
    <row r="454" s="106" customFormat="1" ht="15.75" customHeight="1" x14ac:dyDescent="0.3"/>
    <row r="455" s="106" customFormat="1" ht="15.75" customHeight="1" x14ac:dyDescent="0.3"/>
    <row r="456" s="106" customFormat="1" ht="15.75" customHeight="1" x14ac:dyDescent="0.3"/>
    <row r="457" s="106" customFormat="1" ht="15.75" customHeight="1" x14ac:dyDescent="0.3"/>
    <row r="458" s="106" customFormat="1" ht="15.75" customHeight="1" x14ac:dyDescent="0.3"/>
    <row r="459" s="106" customFormat="1" ht="15.75" customHeight="1" x14ac:dyDescent="0.3"/>
    <row r="460" s="106" customFormat="1" ht="15.75" customHeight="1" x14ac:dyDescent="0.3"/>
    <row r="461" s="106" customFormat="1" ht="15.75" customHeight="1" x14ac:dyDescent="0.3"/>
    <row r="462" s="106" customFormat="1" ht="15.75" customHeight="1" x14ac:dyDescent="0.3"/>
    <row r="463" s="106" customFormat="1" ht="15.75" customHeight="1" x14ac:dyDescent="0.3"/>
    <row r="464" s="106" customFormat="1" ht="15.75" customHeight="1" x14ac:dyDescent="0.3"/>
    <row r="465" s="106" customFormat="1" ht="15.75" customHeight="1" x14ac:dyDescent="0.3"/>
    <row r="466" s="106" customFormat="1" ht="15.75" customHeight="1" x14ac:dyDescent="0.3"/>
    <row r="467" s="106" customFormat="1" ht="15.75" customHeight="1" x14ac:dyDescent="0.3"/>
    <row r="468" s="106" customFormat="1" ht="15.75" customHeight="1" x14ac:dyDescent="0.3"/>
    <row r="469" s="106" customFormat="1" ht="15.75" customHeight="1" x14ac:dyDescent="0.3"/>
    <row r="470" s="106" customFormat="1" ht="15.75" customHeight="1" x14ac:dyDescent="0.3"/>
    <row r="471" s="106" customFormat="1" ht="15.75" customHeight="1" x14ac:dyDescent="0.3"/>
    <row r="472" s="106" customFormat="1" ht="15.75" customHeight="1" x14ac:dyDescent="0.3"/>
    <row r="473" s="106" customFormat="1" ht="15.75" customHeight="1" x14ac:dyDescent="0.3"/>
    <row r="474" s="106" customFormat="1" ht="15.75" customHeight="1" x14ac:dyDescent="0.3"/>
    <row r="475" s="106" customFormat="1" ht="15.75" customHeight="1" x14ac:dyDescent="0.3"/>
    <row r="476" s="106" customFormat="1" ht="15.75" customHeight="1" x14ac:dyDescent="0.3"/>
    <row r="477" s="106" customFormat="1" ht="15.75" customHeight="1" x14ac:dyDescent="0.3"/>
    <row r="478" s="106" customFormat="1" ht="15.75" customHeight="1" x14ac:dyDescent="0.3"/>
    <row r="479" s="106" customFormat="1" ht="15.75" customHeight="1" x14ac:dyDescent="0.3"/>
    <row r="480" s="106" customFormat="1" ht="15.75" customHeight="1" x14ac:dyDescent="0.3"/>
    <row r="481" s="106" customFormat="1" ht="15.75" customHeight="1" x14ac:dyDescent="0.3"/>
    <row r="482" s="106" customFormat="1" ht="15.75" customHeight="1" x14ac:dyDescent="0.3"/>
    <row r="483" s="106" customFormat="1" ht="15.75" customHeight="1" x14ac:dyDescent="0.3"/>
    <row r="484" s="106" customFormat="1" ht="15.75" customHeight="1" x14ac:dyDescent="0.3"/>
    <row r="485" s="106" customFormat="1" ht="15.75" customHeight="1" x14ac:dyDescent="0.3"/>
    <row r="486" s="106" customFormat="1" ht="15.75" customHeight="1" x14ac:dyDescent="0.3"/>
    <row r="487" s="106" customFormat="1" ht="15.75" customHeight="1" x14ac:dyDescent="0.3"/>
    <row r="488" s="106" customFormat="1" ht="15.75" customHeight="1" x14ac:dyDescent="0.3"/>
    <row r="489" s="106" customFormat="1" ht="15.75" customHeight="1" x14ac:dyDescent="0.3"/>
    <row r="490" s="106" customFormat="1" ht="15.75" customHeight="1" x14ac:dyDescent="0.3"/>
    <row r="491" s="106" customFormat="1" ht="15.75" customHeight="1" x14ac:dyDescent="0.3"/>
    <row r="492" s="106" customFormat="1" ht="15.75" customHeight="1" x14ac:dyDescent="0.3"/>
    <row r="493" s="106" customFormat="1" ht="15.75" customHeight="1" x14ac:dyDescent="0.3"/>
    <row r="494" s="106" customFormat="1" ht="15.75" customHeight="1" x14ac:dyDescent="0.3"/>
    <row r="495" s="106" customFormat="1" ht="15.75" customHeight="1" x14ac:dyDescent="0.3"/>
    <row r="496" s="106" customFormat="1" ht="15.75" customHeight="1" x14ac:dyDescent="0.3"/>
    <row r="497" s="106" customFormat="1" ht="15.75" customHeight="1" x14ac:dyDescent="0.3"/>
    <row r="498" s="106" customFormat="1" ht="15.75" customHeight="1" x14ac:dyDescent="0.3"/>
    <row r="499" s="106" customFormat="1" ht="15.75" customHeight="1" x14ac:dyDescent="0.3"/>
    <row r="500" s="106" customFormat="1" ht="15.75" customHeight="1" x14ac:dyDescent="0.3"/>
    <row r="501" s="106" customFormat="1" ht="15.75" customHeight="1" x14ac:dyDescent="0.3"/>
    <row r="502" s="106" customFormat="1" ht="15.75" customHeight="1" x14ac:dyDescent="0.3"/>
    <row r="503" s="106" customFormat="1" ht="15.75" customHeight="1" x14ac:dyDescent="0.3"/>
    <row r="504" s="106" customFormat="1" ht="15.75" customHeight="1" x14ac:dyDescent="0.3"/>
    <row r="505" s="106" customFormat="1" ht="15.75" customHeight="1" x14ac:dyDescent="0.3"/>
    <row r="506" s="106" customFormat="1" ht="15.75" customHeight="1" x14ac:dyDescent="0.3"/>
    <row r="507" s="106" customFormat="1" ht="15.75" customHeight="1" x14ac:dyDescent="0.3"/>
    <row r="508" s="106" customFormat="1" ht="15.75" customHeight="1" x14ac:dyDescent="0.3"/>
    <row r="509" s="106" customFormat="1" ht="15.75" customHeight="1" x14ac:dyDescent="0.3"/>
    <row r="510" s="106" customFormat="1" ht="15.75" customHeight="1" x14ac:dyDescent="0.3"/>
    <row r="511" s="106" customFormat="1" ht="15.75" customHeight="1" x14ac:dyDescent="0.3"/>
    <row r="512" s="106" customFormat="1" ht="15.75" customHeight="1" x14ac:dyDescent="0.3"/>
    <row r="513" s="106" customFormat="1" ht="15.75" customHeight="1" x14ac:dyDescent="0.3"/>
    <row r="514" s="106" customFormat="1" ht="15.75" customHeight="1" x14ac:dyDescent="0.3"/>
    <row r="515" s="106" customFormat="1" ht="15.75" customHeight="1" x14ac:dyDescent="0.3"/>
    <row r="516" s="106" customFormat="1" ht="15.75" customHeight="1" x14ac:dyDescent="0.3"/>
    <row r="517" s="106" customFormat="1" ht="15.75" customHeight="1" x14ac:dyDescent="0.3"/>
    <row r="518" s="106" customFormat="1" ht="15.75" customHeight="1" x14ac:dyDescent="0.3"/>
    <row r="519" s="106" customFormat="1" ht="15.75" customHeight="1" x14ac:dyDescent="0.3"/>
    <row r="520" s="106" customFormat="1" ht="15.75" customHeight="1" x14ac:dyDescent="0.3"/>
    <row r="521" s="106" customFormat="1" ht="15.75" customHeight="1" x14ac:dyDescent="0.3"/>
    <row r="522" s="106" customFormat="1" ht="15.75" customHeight="1" x14ac:dyDescent="0.3"/>
    <row r="523" s="106" customFormat="1" ht="15.75" customHeight="1" x14ac:dyDescent="0.3"/>
    <row r="524" s="106" customFormat="1" ht="15.75" customHeight="1" x14ac:dyDescent="0.3"/>
    <row r="525" s="106" customFormat="1" ht="15.75" customHeight="1" x14ac:dyDescent="0.3"/>
    <row r="526" s="106" customFormat="1" ht="15.75" customHeight="1" x14ac:dyDescent="0.3"/>
    <row r="527" s="106" customFormat="1" ht="15.75" customHeight="1" x14ac:dyDescent="0.3"/>
    <row r="528" s="106" customFormat="1" ht="15.75" customHeight="1" x14ac:dyDescent="0.3"/>
    <row r="529" s="106" customFormat="1" ht="15.75" customHeight="1" x14ac:dyDescent="0.3"/>
    <row r="530" s="106" customFormat="1" ht="15.75" customHeight="1" x14ac:dyDescent="0.3"/>
    <row r="531" s="106" customFormat="1" ht="15.75" customHeight="1" x14ac:dyDescent="0.3"/>
    <row r="532" s="106" customFormat="1" ht="15.75" customHeight="1" x14ac:dyDescent="0.3"/>
    <row r="533" s="106" customFormat="1" ht="15.75" customHeight="1" x14ac:dyDescent="0.3"/>
    <row r="534" s="106" customFormat="1" ht="15.75" customHeight="1" x14ac:dyDescent="0.3"/>
    <row r="535" s="106" customFormat="1" ht="15.75" customHeight="1" x14ac:dyDescent="0.3"/>
    <row r="536" s="106" customFormat="1" ht="15.75" customHeight="1" x14ac:dyDescent="0.3"/>
    <row r="537" s="106" customFormat="1" ht="15.75" customHeight="1" x14ac:dyDescent="0.3"/>
    <row r="538" s="106" customFormat="1" ht="15.75" customHeight="1" x14ac:dyDescent="0.3"/>
    <row r="539" s="106" customFormat="1" ht="15.75" customHeight="1" x14ac:dyDescent="0.3"/>
    <row r="540" s="106" customFormat="1" ht="15.75" customHeight="1" x14ac:dyDescent="0.3"/>
    <row r="541" s="106" customFormat="1" ht="15.75" customHeight="1" x14ac:dyDescent="0.3"/>
    <row r="542" s="106" customFormat="1" ht="15.75" customHeight="1" x14ac:dyDescent="0.3"/>
    <row r="543" s="106" customFormat="1" ht="15.75" customHeight="1" x14ac:dyDescent="0.3"/>
    <row r="544" s="106" customFormat="1" ht="15.75" customHeight="1" x14ac:dyDescent="0.3"/>
    <row r="545" s="106" customFormat="1" ht="15.75" customHeight="1" x14ac:dyDescent="0.3"/>
    <row r="546" s="106" customFormat="1" ht="15.75" customHeight="1" x14ac:dyDescent="0.3"/>
    <row r="547" s="106" customFormat="1" ht="15.75" customHeight="1" x14ac:dyDescent="0.3"/>
    <row r="548" s="106" customFormat="1" ht="15.75" customHeight="1" x14ac:dyDescent="0.3"/>
    <row r="549" s="106" customFormat="1" ht="15.75" customHeight="1" x14ac:dyDescent="0.3"/>
    <row r="550" s="106" customFormat="1" ht="15.75" customHeight="1" x14ac:dyDescent="0.3"/>
    <row r="551" s="106" customFormat="1" ht="15.75" customHeight="1" x14ac:dyDescent="0.3"/>
    <row r="552" s="106" customFormat="1" ht="15.75" customHeight="1" x14ac:dyDescent="0.3"/>
    <row r="553" s="106" customFormat="1" ht="15.75" customHeight="1" x14ac:dyDescent="0.3"/>
    <row r="554" s="106" customFormat="1" ht="15.75" customHeight="1" x14ac:dyDescent="0.3"/>
    <row r="555" s="106" customFormat="1" ht="15.75" customHeight="1" x14ac:dyDescent="0.3"/>
    <row r="556" s="106" customFormat="1" ht="15.75" customHeight="1" x14ac:dyDescent="0.3"/>
    <row r="557" s="106" customFormat="1" ht="15.75" customHeight="1" x14ac:dyDescent="0.3"/>
    <row r="558" s="106" customFormat="1" ht="15.75" customHeight="1" x14ac:dyDescent="0.3"/>
    <row r="559" s="106" customFormat="1" ht="15.75" customHeight="1" x14ac:dyDescent="0.3"/>
    <row r="560" s="106" customFormat="1" ht="15.75" customHeight="1" x14ac:dyDescent="0.3"/>
    <row r="561" s="106" customFormat="1" ht="15.75" customHeight="1" x14ac:dyDescent="0.3"/>
    <row r="562" s="106" customFormat="1" ht="15.75" customHeight="1" x14ac:dyDescent="0.3"/>
    <row r="563" s="106" customFormat="1" ht="15.75" customHeight="1" x14ac:dyDescent="0.3"/>
    <row r="564" s="106" customFormat="1" ht="15.75" customHeight="1" x14ac:dyDescent="0.3"/>
    <row r="565" s="106" customFormat="1" ht="15.75" customHeight="1" x14ac:dyDescent="0.3"/>
    <row r="566" s="106" customFormat="1" ht="15.75" customHeight="1" x14ac:dyDescent="0.3"/>
    <row r="567" s="106" customFormat="1" ht="15.75" customHeight="1" x14ac:dyDescent="0.3"/>
    <row r="568" s="106" customFormat="1" ht="15.75" customHeight="1" x14ac:dyDescent="0.3"/>
    <row r="569" s="106" customFormat="1" ht="15.75" customHeight="1" x14ac:dyDescent="0.3"/>
    <row r="570" s="106" customFormat="1" ht="15.75" customHeight="1" x14ac:dyDescent="0.3"/>
    <row r="571" s="106" customFormat="1" ht="15.75" customHeight="1" x14ac:dyDescent="0.3"/>
    <row r="572" s="106" customFormat="1" ht="15.75" customHeight="1" x14ac:dyDescent="0.3"/>
    <row r="573" s="106" customFormat="1" ht="15.75" customHeight="1" x14ac:dyDescent="0.3"/>
    <row r="574" s="106" customFormat="1" ht="15.75" customHeight="1" x14ac:dyDescent="0.3"/>
    <row r="575" s="106" customFormat="1" ht="15.75" customHeight="1" x14ac:dyDescent="0.3"/>
    <row r="576" s="106" customFormat="1" ht="15.75" customHeight="1" x14ac:dyDescent="0.3"/>
    <row r="577" s="106" customFormat="1" ht="15.75" customHeight="1" x14ac:dyDescent="0.3"/>
    <row r="578" s="106" customFormat="1" ht="15.75" customHeight="1" x14ac:dyDescent="0.3"/>
    <row r="579" s="106" customFormat="1" ht="15.75" customHeight="1" x14ac:dyDescent="0.3"/>
    <row r="580" s="106" customFormat="1" ht="15.75" customHeight="1" x14ac:dyDescent="0.3"/>
    <row r="581" s="106" customFormat="1" ht="15.75" customHeight="1" x14ac:dyDescent="0.3"/>
    <row r="582" s="106" customFormat="1" ht="15.75" customHeight="1" x14ac:dyDescent="0.3"/>
    <row r="583" s="106" customFormat="1" ht="15.75" customHeight="1" x14ac:dyDescent="0.3"/>
    <row r="584" s="106" customFormat="1" ht="15.75" customHeight="1" x14ac:dyDescent="0.3"/>
    <row r="585" s="106" customFormat="1" ht="15.75" customHeight="1" x14ac:dyDescent="0.3"/>
    <row r="586" s="106" customFormat="1" ht="15.75" customHeight="1" x14ac:dyDescent="0.3"/>
    <row r="587" s="106" customFormat="1" ht="15.75" customHeight="1" x14ac:dyDescent="0.3"/>
    <row r="588" s="106" customFormat="1" ht="15.75" customHeight="1" x14ac:dyDescent="0.3"/>
    <row r="589" s="106" customFormat="1" ht="15.75" customHeight="1" x14ac:dyDescent="0.3"/>
    <row r="590" s="106" customFormat="1" ht="15.75" customHeight="1" x14ac:dyDescent="0.3"/>
    <row r="591" s="106" customFormat="1" ht="15.75" customHeight="1" x14ac:dyDescent="0.3"/>
    <row r="592" s="106" customFormat="1" ht="15.75" customHeight="1" x14ac:dyDescent="0.3"/>
    <row r="593" s="106" customFormat="1" ht="15.75" customHeight="1" x14ac:dyDescent="0.3"/>
    <row r="594" s="106" customFormat="1" ht="15.75" customHeight="1" x14ac:dyDescent="0.3"/>
    <row r="595" s="106" customFormat="1" ht="15.75" customHeight="1" x14ac:dyDescent="0.3"/>
    <row r="596" s="106" customFormat="1" ht="15.75" customHeight="1" x14ac:dyDescent="0.3"/>
    <row r="597" s="106" customFormat="1" ht="15.75" customHeight="1" x14ac:dyDescent="0.3"/>
    <row r="598" s="106" customFormat="1" ht="15.75" customHeight="1" x14ac:dyDescent="0.3"/>
    <row r="599" s="106" customFormat="1" ht="15.75" customHeight="1" x14ac:dyDescent="0.3"/>
    <row r="600" s="106" customFormat="1" ht="15.75" customHeight="1" x14ac:dyDescent="0.3"/>
    <row r="601" s="106" customFormat="1" ht="15.75" customHeight="1" x14ac:dyDescent="0.3"/>
    <row r="602" s="106" customFormat="1" ht="15.75" customHeight="1" x14ac:dyDescent="0.3"/>
    <row r="603" s="106" customFormat="1" ht="15.75" customHeight="1" x14ac:dyDescent="0.3"/>
    <row r="604" s="106" customFormat="1" ht="15.75" customHeight="1" x14ac:dyDescent="0.3"/>
    <row r="605" s="106" customFormat="1" ht="15.75" customHeight="1" x14ac:dyDescent="0.3"/>
    <row r="606" s="106" customFormat="1" ht="15.75" customHeight="1" x14ac:dyDescent="0.3"/>
    <row r="607" s="106" customFormat="1" ht="15.75" customHeight="1" x14ac:dyDescent="0.3"/>
    <row r="608" s="106" customFormat="1" ht="15.75" customHeight="1" x14ac:dyDescent="0.3"/>
    <row r="609" s="106" customFormat="1" ht="15.75" customHeight="1" x14ac:dyDescent="0.3"/>
    <row r="610" s="106" customFormat="1" ht="15.75" customHeight="1" x14ac:dyDescent="0.3"/>
    <row r="611" s="106" customFormat="1" ht="15.75" customHeight="1" x14ac:dyDescent="0.3"/>
    <row r="612" s="106" customFormat="1" ht="15.75" customHeight="1" x14ac:dyDescent="0.3"/>
    <row r="613" s="106" customFormat="1" ht="15.75" customHeight="1" x14ac:dyDescent="0.3"/>
    <row r="614" s="106" customFormat="1" ht="15.75" customHeight="1" x14ac:dyDescent="0.3"/>
    <row r="615" s="106" customFormat="1" ht="15.75" customHeight="1" x14ac:dyDescent="0.3"/>
    <row r="616" s="106" customFormat="1" ht="15.75" customHeight="1" x14ac:dyDescent="0.3"/>
    <row r="617" s="106" customFormat="1" ht="15.75" customHeight="1" x14ac:dyDescent="0.3"/>
    <row r="618" s="106" customFormat="1" ht="15.75" customHeight="1" x14ac:dyDescent="0.3"/>
    <row r="619" s="106" customFormat="1" ht="15.75" customHeight="1" x14ac:dyDescent="0.3"/>
    <row r="620" s="106" customFormat="1" ht="15.75" customHeight="1" x14ac:dyDescent="0.3"/>
    <row r="621" s="106" customFormat="1" ht="15.75" customHeight="1" x14ac:dyDescent="0.3"/>
    <row r="622" s="106" customFormat="1" ht="15.75" customHeight="1" x14ac:dyDescent="0.3"/>
    <row r="623" s="106" customFormat="1" ht="15.75" customHeight="1" x14ac:dyDescent="0.3"/>
    <row r="624" s="106" customFormat="1" ht="15.75" customHeight="1" x14ac:dyDescent="0.3"/>
    <row r="625" s="106" customFormat="1" ht="15.75" customHeight="1" x14ac:dyDescent="0.3"/>
    <row r="626" s="106" customFormat="1" ht="15.75" customHeight="1" x14ac:dyDescent="0.3"/>
    <row r="627" s="106" customFormat="1" ht="15.75" customHeight="1" x14ac:dyDescent="0.3"/>
    <row r="628" s="106" customFormat="1" ht="15.75" customHeight="1" x14ac:dyDescent="0.3"/>
    <row r="629" s="106" customFormat="1" ht="15.75" customHeight="1" x14ac:dyDescent="0.3"/>
    <row r="630" s="106" customFormat="1" ht="15.75" customHeight="1" x14ac:dyDescent="0.3"/>
    <row r="631" s="106" customFormat="1" ht="15.75" customHeight="1" x14ac:dyDescent="0.3"/>
    <row r="632" s="106" customFormat="1" ht="15.75" customHeight="1" x14ac:dyDescent="0.3"/>
    <row r="633" s="106" customFormat="1" ht="15.75" customHeight="1" x14ac:dyDescent="0.3"/>
    <row r="634" s="106" customFormat="1" ht="15.75" customHeight="1" x14ac:dyDescent="0.3"/>
    <row r="635" s="106" customFormat="1" ht="15.75" customHeight="1" x14ac:dyDescent="0.3"/>
    <row r="636" s="106" customFormat="1" ht="15.75" customHeight="1" x14ac:dyDescent="0.3"/>
    <row r="637" s="106" customFormat="1" ht="15.75" customHeight="1" x14ac:dyDescent="0.3"/>
    <row r="638" s="106" customFormat="1" ht="15.75" customHeight="1" x14ac:dyDescent="0.3"/>
    <row r="639" s="106" customFormat="1" ht="15.75" customHeight="1" x14ac:dyDescent="0.3"/>
    <row r="640" s="106" customFormat="1" ht="15.75" customHeight="1" x14ac:dyDescent="0.3"/>
    <row r="641" s="106" customFormat="1" ht="15.75" customHeight="1" x14ac:dyDescent="0.3"/>
    <row r="642" s="106" customFormat="1" ht="15.75" customHeight="1" x14ac:dyDescent="0.3"/>
    <row r="643" s="106" customFormat="1" ht="15.75" customHeight="1" x14ac:dyDescent="0.3"/>
    <row r="644" s="106" customFormat="1" ht="15.75" customHeight="1" x14ac:dyDescent="0.3"/>
    <row r="645" s="106" customFormat="1" ht="15.75" customHeight="1" x14ac:dyDescent="0.3"/>
    <row r="646" s="106" customFormat="1" ht="15.75" customHeight="1" x14ac:dyDescent="0.3"/>
    <row r="647" s="106" customFormat="1" ht="15.75" customHeight="1" x14ac:dyDescent="0.3"/>
    <row r="648" s="106" customFormat="1" ht="15.75" customHeight="1" x14ac:dyDescent="0.3"/>
    <row r="649" s="106" customFormat="1" ht="15.75" customHeight="1" x14ac:dyDescent="0.3"/>
    <row r="650" s="106" customFormat="1" ht="15.75" customHeight="1" x14ac:dyDescent="0.3"/>
    <row r="651" s="106" customFormat="1" ht="15.75" customHeight="1" x14ac:dyDescent="0.3"/>
    <row r="652" s="106" customFormat="1" ht="15.75" customHeight="1" x14ac:dyDescent="0.3"/>
    <row r="653" s="106" customFormat="1" ht="15.75" customHeight="1" x14ac:dyDescent="0.3"/>
    <row r="654" s="106" customFormat="1" ht="15.75" customHeight="1" x14ac:dyDescent="0.3"/>
    <row r="655" s="106" customFormat="1" ht="15.75" customHeight="1" x14ac:dyDescent="0.3"/>
    <row r="656" s="106" customFormat="1" ht="15.75" customHeight="1" x14ac:dyDescent="0.3"/>
    <row r="657" s="106" customFormat="1" ht="15.75" customHeight="1" x14ac:dyDescent="0.3"/>
    <row r="658" s="106" customFormat="1" ht="15.75" customHeight="1" x14ac:dyDescent="0.3"/>
    <row r="659" s="106" customFormat="1" ht="15.75" customHeight="1" x14ac:dyDescent="0.3"/>
    <row r="660" s="106" customFormat="1" ht="15.75" customHeight="1" x14ac:dyDescent="0.3"/>
    <row r="661" s="106" customFormat="1" ht="15.75" customHeight="1" x14ac:dyDescent="0.3"/>
    <row r="662" s="106" customFormat="1" ht="15.75" customHeight="1" x14ac:dyDescent="0.3"/>
    <row r="663" s="106" customFormat="1" ht="15.75" customHeight="1" x14ac:dyDescent="0.3"/>
    <row r="664" s="106" customFormat="1" ht="15.75" customHeight="1" x14ac:dyDescent="0.3"/>
    <row r="665" s="106" customFormat="1" ht="15.75" customHeight="1" x14ac:dyDescent="0.3"/>
    <row r="666" s="106" customFormat="1" ht="15.75" customHeight="1" x14ac:dyDescent="0.3"/>
    <row r="667" s="106" customFormat="1" ht="15.75" customHeight="1" x14ac:dyDescent="0.3"/>
    <row r="668" s="106" customFormat="1" ht="15.75" customHeight="1" x14ac:dyDescent="0.3"/>
    <row r="669" s="106" customFormat="1" ht="15.75" customHeight="1" x14ac:dyDescent="0.3"/>
    <row r="670" s="106" customFormat="1" ht="15.75" customHeight="1" x14ac:dyDescent="0.3"/>
    <row r="671" s="106" customFormat="1" ht="15.75" customHeight="1" x14ac:dyDescent="0.3"/>
    <row r="672" s="106" customFormat="1" ht="15.75" customHeight="1" x14ac:dyDescent="0.3"/>
    <row r="673" s="106" customFormat="1" ht="15.75" customHeight="1" x14ac:dyDescent="0.3"/>
    <row r="674" s="106" customFormat="1" ht="15.75" customHeight="1" x14ac:dyDescent="0.3"/>
    <row r="675" s="106" customFormat="1" ht="15.75" customHeight="1" x14ac:dyDescent="0.3"/>
    <row r="676" s="106" customFormat="1" ht="15.75" customHeight="1" x14ac:dyDescent="0.3"/>
    <row r="677" s="106" customFormat="1" ht="15.75" customHeight="1" x14ac:dyDescent="0.3"/>
    <row r="678" s="106" customFormat="1" ht="15.75" customHeight="1" x14ac:dyDescent="0.3"/>
    <row r="679" s="106" customFormat="1" ht="15.75" customHeight="1" x14ac:dyDescent="0.3"/>
    <row r="680" s="106" customFormat="1" ht="15.75" customHeight="1" x14ac:dyDescent="0.3"/>
    <row r="681" s="106" customFormat="1" ht="15.75" customHeight="1" x14ac:dyDescent="0.3"/>
    <row r="682" s="106" customFormat="1" ht="15.75" customHeight="1" x14ac:dyDescent="0.3"/>
    <row r="683" s="106" customFormat="1" ht="15.75" customHeight="1" x14ac:dyDescent="0.3"/>
    <row r="684" s="106" customFormat="1" ht="15.75" customHeight="1" x14ac:dyDescent="0.3"/>
    <row r="685" s="106" customFormat="1" ht="15.75" customHeight="1" x14ac:dyDescent="0.3"/>
    <row r="686" s="106" customFormat="1" ht="15.75" customHeight="1" x14ac:dyDescent="0.3"/>
    <row r="687" s="106" customFormat="1" ht="15.75" customHeight="1" x14ac:dyDescent="0.3"/>
    <row r="688" s="106" customFormat="1" ht="15.75" customHeight="1" x14ac:dyDescent="0.3"/>
    <row r="689" s="106" customFormat="1" ht="15.75" customHeight="1" x14ac:dyDescent="0.3"/>
    <row r="690" s="106" customFormat="1" ht="15.75" customHeight="1" x14ac:dyDescent="0.3"/>
    <row r="691" s="106" customFormat="1" ht="15.75" customHeight="1" x14ac:dyDescent="0.3"/>
    <row r="692" s="106" customFormat="1" ht="15.75" customHeight="1" x14ac:dyDescent="0.3"/>
    <row r="693" s="106" customFormat="1" ht="15.75" customHeight="1" x14ac:dyDescent="0.3"/>
    <row r="694" s="106" customFormat="1" ht="15.75" customHeight="1" x14ac:dyDescent="0.3"/>
    <row r="695" s="106" customFormat="1" ht="15.75" customHeight="1" x14ac:dyDescent="0.3"/>
    <row r="696" s="106" customFormat="1" ht="15.75" customHeight="1" x14ac:dyDescent="0.3"/>
    <row r="697" s="106" customFormat="1" ht="15.75" customHeight="1" x14ac:dyDescent="0.3"/>
    <row r="698" s="106" customFormat="1" ht="15.75" customHeight="1" x14ac:dyDescent="0.3"/>
    <row r="699" s="106" customFormat="1" ht="15.75" customHeight="1" x14ac:dyDescent="0.3"/>
    <row r="700" s="106" customFormat="1" ht="15.75" customHeight="1" x14ac:dyDescent="0.3"/>
    <row r="701" s="106" customFormat="1" ht="15.75" customHeight="1" x14ac:dyDescent="0.3"/>
    <row r="702" s="106" customFormat="1" ht="15.75" customHeight="1" x14ac:dyDescent="0.3"/>
    <row r="703" s="106" customFormat="1" ht="15.75" customHeight="1" x14ac:dyDescent="0.3"/>
    <row r="704" s="106" customFormat="1" ht="15.75" customHeight="1" x14ac:dyDescent="0.3"/>
    <row r="705" s="106" customFormat="1" ht="15.75" customHeight="1" x14ac:dyDescent="0.3"/>
    <row r="706" s="106" customFormat="1" ht="15.75" customHeight="1" x14ac:dyDescent="0.3"/>
    <row r="707" s="106" customFormat="1" ht="15.75" customHeight="1" x14ac:dyDescent="0.3"/>
    <row r="708" s="106" customFormat="1" ht="15.75" customHeight="1" x14ac:dyDescent="0.3"/>
    <row r="709" s="106" customFormat="1" ht="15.75" customHeight="1" x14ac:dyDescent="0.3"/>
    <row r="710" s="106" customFormat="1" ht="15.75" customHeight="1" x14ac:dyDescent="0.3"/>
    <row r="711" s="106" customFormat="1" ht="15.75" customHeight="1" x14ac:dyDescent="0.3"/>
    <row r="712" s="106" customFormat="1" ht="15.75" customHeight="1" x14ac:dyDescent="0.3"/>
    <row r="713" s="106" customFormat="1" ht="15.75" customHeight="1" x14ac:dyDescent="0.3"/>
    <row r="714" s="106" customFormat="1" ht="15.75" customHeight="1" x14ac:dyDescent="0.3"/>
    <row r="715" s="106" customFormat="1" ht="15.75" customHeight="1" x14ac:dyDescent="0.3"/>
    <row r="716" s="106" customFormat="1" ht="15.75" customHeight="1" x14ac:dyDescent="0.3"/>
    <row r="717" s="106" customFormat="1" ht="15.75" customHeight="1" x14ac:dyDescent="0.3"/>
    <row r="718" s="106" customFormat="1" ht="15.75" customHeight="1" x14ac:dyDescent="0.3"/>
    <row r="719" s="106" customFormat="1" ht="15.75" customHeight="1" x14ac:dyDescent="0.3"/>
    <row r="720" s="106" customFormat="1" ht="15.75" customHeight="1" x14ac:dyDescent="0.3"/>
    <row r="721" s="106" customFormat="1" ht="15.75" customHeight="1" x14ac:dyDescent="0.3"/>
    <row r="722" s="106" customFormat="1" ht="15.75" customHeight="1" x14ac:dyDescent="0.3"/>
    <row r="723" s="106" customFormat="1" ht="15.75" customHeight="1" x14ac:dyDescent="0.3"/>
    <row r="724" s="106" customFormat="1" ht="15.75" customHeight="1" x14ac:dyDescent="0.3"/>
    <row r="725" s="106" customFormat="1" ht="15.75" customHeight="1" x14ac:dyDescent="0.3"/>
    <row r="726" s="106" customFormat="1" ht="15.75" customHeight="1" x14ac:dyDescent="0.3"/>
    <row r="727" s="106" customFormat="1" ht="15.75" customHeight="1" x14ac:dyDescent="0.3"/>
    <row r="728" s="106" customFormat="1" ht="15.75" customHeight="1" x14ac:dyDescent="0.3"/>
    <row r="729" s="106" customFormat="1" ht="15.75" customHeight="1" x14ac:dyDescent="0.3"/>
    <row r="730" s="106" customFormat="1" ht="15.75" customHeight="1" x14ac:dyDescent="0.3"/>
    <row r="731" s="106" customFormat="1" ht="15.75" customHeight="1" x14ac:dyDescent="0.3"/>
    <row r="732" s="106" customFormat="1" ht="15.75" customHeight="1" x14ac:dyDescent="0.3"/>
    <row r="733" s="106" customFormat="1" ht="15.75" customHeight="1" x14ac:dyDescent="0.3"/>
    <row r="734" s="106" customFormat="1" ht="15.75" customHeight="1" x14ac:dyDescent="0.3"/>
    <row r="735" s="106" customFormat="1" ht="15.75" customHeight="1" x14ac:dyDescent="0.3"/>
    <row r="736" s="106" customFormat="1" ht="15.75" customHeight="1" x14ac:dyDescent="0.3"/>
    <row r="737" s="106" customFormat="1" ht="15.75" customHeight="1" x14ac:dyDescent="0.3"/>
    <row r="738" s="106" customFormat="1" ht="15.75" customHeight="1" x14ac:dyDescent="0.3"/>
    <row r="739" s="106" customFormat="1" ht="15.75" customHeight="1" x14ac:dyDescent="0.3"/>
    <row r="740" s="106" customFormat="1" ht="15.75" customHeight="1" x14ac:dyDescent="0.3"/>
    <row r="741" s="106" customFormat="1" ht="15.75" customHeight="1" x14ac:dyDescent="0.3"/>
    <row r="742" s="106" customFormat="1" ht="15.75" customHeight="1" x14ac:dyDescent="0.3"/>
    <row r="743" s="106" customFormat="1" ht="15.75" customHeight="1" x14ac:dyDescent="0.3"/>
    <row r="744" s="106" customFormat="1" ht="15.75" customHeight="1" x14ac:dyDescent="0.3"/>
    <row r="745" s="106" customFormat="1" ht="15.75" customHeight="1" x14ac:dyDescent="0.3"/>
    <row r="746" s="106" customFormat="1" ht="15.75" customHeight="1" x14ac:dyDescent="0.3"/>
    <row r="747" s="106" customFormat="1" ht="15.75" customHeight="1" x14ac:dyDescent="0.3"/>
    <row r="748" s="106" customFormat="1" ht="15.75" customHeight="1" x14ac:dyDescent="0.3"/>
    <row r="749" s="106" customFormat="1" ht="15.75" customHeight="1" x14ac:dyDescent="0.3"/>
    <row r="750" s="106" customFormat="1" ht="15.75" customHeight="1" x14ac:dyDescent="0.3"/>
    <row r="751" s="106" customFormat="1" ht="15.75" customHeight="1" x14ac:dyDescent="0.3"/>
    <row r="752" s="106" customFormat="1" ht="15.75" customHeight="1" x14ac:dyDescent="0.3"/>
    <row r="753" s="106" customFormat="1" ht="15.75" customHeight="1" x14ac:dyDescent="0.3"/>
    <row r="754" s="106" customFormat="1" ht="15.75" customHeight="1" x14ac:dyDescent="0.3"/>
    <row r="755" s="106" customFormat="1" ht="15.75" customHeight="1" x14ac:dyDescent="0.3"/>
    <row r="756" s="106" customFormat="1" ht="15.75" customHeight="1" x14ac:dyDescent="0.3"/>
    <row r="757" s="106" customFormat="1" ht="15.75" customHeight="1" x14ac:dyDescent="0.3"/>
    <row r="758" s="106" customFormat="1" ht="15.75" customHeight="1" x14ac:dyDescent="0.3"/>
    <row r="759" s="106" customFormat="1" ht="15.75" customHeight="1" x14ac:dyDescent="0.3"/>
    <row r="760" s="106" customFormat="1" ht="15.75" customHeight="1" x14ac:dyDescent="0.3"/>
    <row r="761" s="106" customFormat="1" ht="15.75" customHeight="1" x14ac:dyDescent="0.3"/>
    <row r="762" s="106" customFormat="1" ht="15.75" customHeight="1" x14ac:dyDescent="0.3"/>
    <row r="763" s="106" customFormat="1" ht="15.75" customHeight="1" x14ac:dyDescent="0.3"/>
    <row r="764" s="106" customFormat="1" ht="15.75" customHeight="1" x14ac:dyDescent="0.3"/>
    <row r="765" s="106" customFormat="1" ht="15.75" customHeight="1" x14ac:dyDescent="0.3"/>
    <row r="766" s="106" customFormat="1" ht="15.75" customHeight="1" x14ac:dyDescent="0.3"/>
    <row r="767" s="106" customFormat="1" ht="15.75" customHeight="1" x14ac:dyDescent="0.3"/>
    <row r="768" s="106" customFormat="1" ht="15.75" customHeight="1" x14ac:dyDescent="0.3"/>
    <row r="769" s="106" customFormat="1" ht="15.75" customHeight="1" x14ac:dyDescent="0.3"/>
    <row r="770" s="106" customFormat="1" ht="15.75" customHeight="1" x14ac:dyDescent="0.3"/>
    <row r="771" s="106" customFormat="1" ht="15.75" customHeight="1" x14ac:dyDescent="0.3"/>
    <row r="772" s="106" customFormat="1" ht="15.75" customHeight="1" x14ac:dyDescent="0.3"/>
    <row r="773" s="106" customFormat="1" ht="15.75" customHeight="1" x14ac:dyDescent="0.3"/>
    <row r="774" s="106" customFormat="1" ht="15.75" customHeight="1" x14ac:dyDescent="0.3"/>
    <row r="775" s="106" customFormat="1" ht="15.75" customHeight="1" x14ac:dyDescent="0.3"/>
    <row r="776" s="106" customFormat="1" ht="15.75" customHeight="1" x14ac:dyDescent="0.3"/>
    <row r="777" s="106" customFormat="1" ht="15.75" customHeight="1" x14ac:dyDescent="0.3"/>
    <row r="778" s="106" customFormat="1" ht="15.75" customHeight="1" x14ac:dyDescent="0.3"/>
    <row r="779" s="106" customFormat="1" ht="15.75" customHeight="1" x14ac:dyDescent="0.3"/>
    <row r="780" s="106" customFormat="1" ht="15.75" customHeight="1" x14ac:dyDescent="0.3"/>
    <row r="781" s="106" customFormat="1" ht="15.75" customHeight="1" x14ac:dyDescent="0.3"/>
    <row r="782" s="106" customFormat="1" ht="15.75" customHeight="1" x14ac:dyDescent="0.3"/>
    <row r="783" s="106" customFormat="1" ht="15.75" customHeight="1" x14ac:dyDescent="0.3"/>
    <row r="784" s="106" customFormat="1" ht="15.75" customHeight="1" x14ac:dyDescent="0.3"/>
    <row r="785" s="106" customFormat="1" ht="15.75" customHeight="1" x14ac:dyDescent="0.3"/>
    <row r="786" s="106" customFormat="1" ht="15.75" customHeight="1" x14ac:dyDescent="0.3"/>
    <row r="787" s="106" customFormat="1" ht="15.75" customHeight="1" x14ac:dyDescent="0.3"/>
    <row r="788" s="106" customFormat="1" ht="15.75" customHeight="1" x14ac:dyDescent="0.3"/>
    <row r="789" s="106" customFormat="1" ht="15.75" customHeight="1" x14ac:dyDescent="0.3"/>
    <row r="790" s="106" customFormat="1" ht="15.75" customHeight="1" x14ac:dyDescent="0.3"/>
    <row r="791" s="106" customFormat="1" ht="15.75" customHeight="1" x14ac:dyDescent="0.3"/>
    <row r="792" s="106" customFormat="1" ht="15.75" customHeight="1" x14ac:dyDescent="0.3"/>
    <row r="793" s="106" customFormat="1" ht="15.75" customHeight="1" x14ac:dyDescent="0.3"/>
    <row r="794" s="106" customFormat="1" ht="15.75" customHeight="1" x14ac:dyDescent="0.3"/>
    <row r="795" s="106" customFormat="1" ht="15.75" customHeight="1" x14ac:dyDescent="0.3"/>
    <row r="796" s="106" customFormat="1" ht="15.75" customHeight="1" x14ac:dyDescent="0.3"/>
    <row r="797" s="106" customFormat="1" ht="15.75" customHeight="1" x14ac:dyDescent="0.3"/>
    <row r="798" s="106" customFormat="1" ht="15.75" customHeight="1" x14ac:dyDescent="0.3"/>
    <row r="799" s="106" customFormat="1" ht="15.75" customHeight="1" x14ac:dyDescent="0.3"/>
    <row r="800" s="106" customFormat="1" ht="15.75" customHeight="1" x14ac:dyDescent="0.3"/>
    <row r="801" s="106" customFormat="1" ht="15.75" customHeight="1" x14ac:dyDescent="0.3"/>
    <row r="802" s="106" customFormat="1" ht="15.75" customHeight="1" x14ac:dyDescent="0.3"/>
    <row r="803" s="106" customFormat="1" ht="15.75" customHeight="1" x14ac:dyDescent="0.3"/>
    <row r="804" s="106" customFormat="1" ht="15.75" customHeight="1" x14ac:dyDescent="0.3"/>
    <row r="805" s="106" customFormat="1" ht="15.75" customHeight="1" x14ac:dyDescent="0.3"/>
    <row r="806" s="106" customFormat="1" ht="15.75" customHeight="1" x14ac:dyDescent="0.3"/>
    <row r="807" s="106" customFormat="1" ht="15.75" customHeight="1" x14ac:dyDescent="0.3"/>
    <row r="808" s="106" customFormat="1" ht="15.75" customHeight="1" x14ac:dyDescent="0.3"/>
    <row r="809" s="106" customFormat="1" ht="15.75" customHeight="1" x14ac:dyDescent="0.3"/>
    <row r="810" s="106" customFormat="1" ht="15.75" customHeight="1" x14ac:dyDescent="0.3"/>
    <row r="811" s="106" customFormat="1" ht="15.75" customHeight="1" x14ac:dyDescent="0.3"/>
    <row r="812" s="106" customFormat="1" ht="15.75" customHeight="1" x14ac:dyDescent="0.3"/>
    <row r="813" s="106" customFormat="1" ht="15.75" customHeight="1" x14ac:dyDescent="0.3"/>
    <row r="814" s="106" customFormat="1" ht="15.75" customHeight="1" x14ac:dyDescent="0.3"/>
    <row r="815" s="106" customFormat="1" ht="15.75" customHeight="1" x14ac:dyDescent="0.3"/>
    <row r="816" s="106" customFormat="1" ht="15.75" customHeight="1" x14ac:dyDescent="0.3"/>
    <row r="817" s="106" customFormat="1" ht="15.75" customHeight="1" x14ac:dyDescent="0.3"/>
    <row r="818" s="106" customFormat="1" ht="15.75" customHeight="1" x14ac:dyDescent="0.3"/>
    <row r="819" s="106" customFormat="1" ht="15.75" customHeight="1" x14ac:dyDescent="0.3"/>
    <row r="820" s="106" customFormat="1" ht="15.75" customHeight="1" x14ac:dyDescent="0.3"/>
    <row r="821" s="106" customFormat="1" ht="15.75" customHeight="1" x14ac:dyDescent="0.3"/>
    <row r="822" s="106" customFormat="1" ht="15.75" customHeight="1" x14ac:dyDescent="0.3"/>
    <row r="823" s="106" customFormat="1" ht="15.75" customHeight="1" x14ac:dyDescent="0.3"/>
    <row r="824" s="106" customFormat="1" ht="15.75" customHeight="1" x14ac:dyDescent="0.3"/>
    <row r="825" s="106" customFormat="1" ht="15.75" customHeight="1" x14ac:dyDescent="0.3"/>
    <row r="826" s="106" customFormat="1" ht="15.75" customHeight="1" x14ac:dyDescent="0.3"/>
    <row r="827" s="106" customFormat="1" ht="15.75" customHeight="1" x14ac:dyDescent="0.3"/>
    <row r="828" s="106" customFormat="1" ht="15.75" customHeight="1" x14ac:dyDescent="0.3"/>
    <row r="829" s="106" customFormat="1" ht="15.75" customHeight="1" x14ac:dyDescent="0.3"/>
    <row r="830" s="106" customFormat="1" ht="15.75" customHeight="1" x14ac:dyDescent="0.3"/>
    <row r="831" s="106" customFormat="1" ht="15.75" customHeight="1" x14ac:dyDescent="0.3"/>
    <row r="832" s="106" customFormat="1" ht="15.75" customHeight="1" x14ac:dyDescent="0.3"/>
    <row r="833" s="106" customFormat="1" ht="15.75" customHeight="1" x14ac:dyDescent="0.3"/>
    <row r="834" s="106" customFormat="1" ht="15.75" customHeight="1" x14ac:dyDescent="0.3"/>
    <row r="835" s="106" customFormat="1" ht="15.75" customHeight="1" x14ac:dyDescent="0.3"/>
    <row r="836" s="106" customFormat="1" ht="15.75" customHeight="1" x14ac:dyDescent="0.3"/>
    <row r="837" s="106" customFormat="1" ht="15.75" customHeight="1" x14ac:dyDescent="0.3"/>
    <row r="838" s="106" customFormat="1" ht="15.75" customHeight="1" x14ac:dyDescent="0.3"/>
    <row r="839" s="106" customFormat="1" ht="15.75" customHeight="1" x14ac:dyDescent="0.3"/>
    <row r="840" s="106" customFormat="1" ht="15.75" customHeight="1" x14ac:dyDescent="0.3"/>
    <row r="841" s="106" customFormat="1" ht="15.75" customHeight="1" x14ac:dyDescent="0.3"/>
    <row r="842" s="106" customFormat="1" ht="15.75" customHeight="1" x14ac:dyDescent="0.3"/>
    <row r="843" s="106" customFormat="1" ht="15.75" customHeight="1" x14ac:dyDescent="0.3"/>
    <row r="844" s="106" customFormat="1" ht="15.75" customHeight="1" x14ac:dyDescent="0.3"/>
    <row r="845" s="106" customFormat="1" ht="15.75" customHeight="1" x14ac:dyDescent="0.3"/>
    <row r="846" s="106" customFormat="1" ht="15.75" customHeight="1" x14ac:dyDescent="0.3"/>
    <row r="847" s="106" customFormat="1" ht="15.75" customHeight="1" x14ac:dyDescent="0.3"/>
    <row r="848" s="106" customFormat="1" ht="15.75" customHeight="1" x14ac:dyDescent="0.3"/>
    <row r="849" s="106" customFormat="1" ht="15.75" customHeight="1" x14ac:dyDescent="0.3"/>
    <row r="850" s="106" customFormat="1" ht="15.75" customHeight="1" x14ac:dyDescent="0.3"/>
    <row r="851" s="106" customFormat="1" ht="15.75" customHeight="1" x14ac:dyDescent="0.3"/>
    <row r="852" s="106" customFormat="1" ht="15.75" customHeight="1" x14ac:dyDescent="0.3"/>
    <row r="853" s="106" customFormat="1" ht="15.75" customHeight="1" x14ac:dyDescent="0.3"/>
    <row r="854" s="106" customFormat="1" ht="15.75" customHeight="1" x14ac:dyDescent="0.3"/>
    <row r="855" s="106" customFormat="1" ht="15.75" customHeight="1" x14ac:dyDescent="0.3"/>
    <row r="856" s="106" customFormat="1" ht="15.75" customHeight="1" x14ac:dyDescent="0.3"/>
    <row r="857" s="106" customFormat="1" ht="15.75" customHeight="1" x14ac:dyDescent="0.3"/>
    <row r="858" s="106" customFormat="1" ht="15.75" customHeight="1" x14ac:dyDescent="0.3"/>
    <row r="859" s="106" customFormat="1" ht="15.75" customHeight="1" x14ac:dyDescent="0.3"/>
    <row r="860" s="106" customFormat="1" ht="15.75" customHeight="1" x14ac:dyDescent="0.3"/>
    <row r="861" s="106" customFormat="1" ht="15.75" customHeight="1" x14ac:dyDescent="0.3"/>
    <row r="862" s="106" customFormat="1" ht="15.75" customHeight="1" x14ac:dyDescent="0.3"/>
    <row r="863" s="106" customFormat="1" ht="15.75" customHeight="1" x14ac:dyDescent="0.3"/>
    <row r="864" s="106" customFormat="1" ht="15.75" customHeight="1" x14ac:dyDescent="0.3"/>
    <row r="865" s="106" customFormat="1" ht="15.75" customHeight="1" x14ac:dyDescent="0.3"/>
    <row r="866" s="106" customFormat="1" ht="15.75" customHeight="1" x14ac:dyDescent="0.3"/>
    <row r="867" s="106" customFormat="1" ht="15.75" customHeight="1" x14ac:dyDescent="0.3"/>
    <row r="868" s="106" customFormat="1" ht="15.75" customHeight="1" x14ac:dyDescent="0.3"/>
    <row r="869" s="106" customFormat="1" ht="15.75" customHeight="1" x14ac:dyDescent="0.3"/>
    <row r="870" s="106" customFormat="1" ht="15.75" customHeight="1" x14ac:dyDescent="0.3"/>
    <row r="871" s="106" customFormat="1" ht="15.75" customHeight="1" x14ac:dyDescent="0.3"/>
    <row r="872" s="106" customFormat="1" ht="15.75" customHeight="1" x14ac:dyDescent="0.3"/>
    <row r="873" s="106" customFormat="1" ht="15.75" customHeight="1" x14ac:dyDescent="0.3"/>
    <row r="874" s="106" customFormat="1" ht="15.75" customHeight="1" x14ac:dyDescent="0.3"/>
    <row r="875" s="106" customFormat="1" ht="15.75" customHeight="1" x14ac:dyDescent="0.3"/>
    <row r="876" s="106" customFormat="1" ht="15.75" customHeight="1" x14ac:dyDescent="0.3"/>
    <row r="877" s="106" customFormat="1" ht="15.75" customHeight="1" x14ac:dyDescent="0.3"/>
    <row r="878" s="106" customFormat="1" ht="15.75" customHeight="1" x14ac:dyDescent="0.3"/>
    <row r="879" s="106" customFormat="1" ht="15.75" customHeight="1" x14ac:dyDescent="0.3"/>
    <row r="880" s="106" customFormat="1" ht="15.75" customHeight="1" x14ac:dyDescent="0.3"/>
    <row r="881" s="106" customFormat="1" ht="15.75" customHeight="1" x14ac:dyDescent="0.3"/>
    <row r="882" s="106" customFormat="1" ht="15.75" customHeight="1" x14ac:dyDescent="0.3"/>
    <row r="883" s="106" customFormat="1" ht="15.75" customHeight="1" x14ac:dyDescent="0.3"/>
    <row r="884" s="106" customFormat="1" ht="15.75" customHeight="1" x14ac:dyDescent="0.3"/>
    <row r="885" s="106" customFormat="1" ht="15.75" customHeight="1" x14ac:dyDescent="0.3"/>
    <row r="886" s="106" customFormat="1" ht="15.75" customHeight="1" x14ac:dyDescent="0.3"/>
    <row r="887" s="106" customFormat="1" ht="15.75" customHeight="1" x14ac:dyDescent="0.3"/>
    <row r="888" s="106" customFormat="1" ht="15.75" customHeight="1" x14ac:dyDescent="0.3"/>
    <row r="889" s="106" customFormat="1" ht="15.75" customHeight="1" x14ac:dyDescent="0.3"/>
    <row r="890" s="106" customFormat="1" ht="15.75" customHeight="1" x14ac:dyDescent="0.3"/>
    <row r="891" s="106" customFormat="1" ht="15.75" customHeight="1" x14ac:dyDescent="0.3"/>
    <row r="892" s="106" customFormat="1" ht="15.75" customHeight="1" x14ac:dyDescent="0.3"/>
    <row r="893" s="106" customFormat="1" ht="15.75" customHeight="1" x14ac:dyDescent="0.3"/>
    <row r="894" s="106" customFormat="1" ht="15.75" customHeight="1" x14ac:dyDescent="0.3"/>
    <row r="895" s="106" customFormat="1" ht="15.75" customHeight="1" x14ac:dyDescent="0.3"/>
    <row r="896" s="106" customFormat="1" ht="15.75" customHeight="1" x14ac:dyDescent="0.3"/>
    <row r="897" s="106" customFormat="1" ht="15.75" customHeight="1" x14ac:dyDescent="0.3"/>
    <row r="898" s="106" customFormat="1" ht="15.75" customHeight="1" x14ac:dyDescent="0.3"/>
    <row r="899" s="106" customFormat="1" ht="15.75" customHeight="1" x14ac:dyDescent="0.3"/>
    <row r="900" s="106" customFormat="1" ht="15.75" customHeight="1" x14ac:dyDescent="0.3"/>
    <row r="901" s="106" customFormat="1" ht="15.75" customHeight="1" x14ac:dyDescent="0.3"/>
    <row r="902" s="106" customFormat="1" ht="15.75" customHeight="1" x14ac:dyDescent="0.3"/>
    <row r="903" s="106" customFormat="1" ht="15.75" customHeight="1" x14ac:dyDescent="0.3"/>
    <row r="904" s="106" customFormat="1" ht="15.75" customHeight="1" x14ac:dyDescent="0.3"/>
    <row r="905" s="106" customFormat="1" ht="15.75" customHeight="1" x14ac:dyDescent="0.3"/>
    <row r="906" s="106" customFormat="1" ht="15.75" customHeight="1" x14ac:dyDescent="0.3"/>
    <row r="907" s="106" customFormat="1" ht="15.75" customHeight="1" x14ac:dyDescent="0.3"/>
    <row r="908" s="106" customFormat="1" ht="15.75" customHeight="1" x14ac:dyDescent="0.3"/>
    <row r="909" s="106" customFormat="1" ht="15.75" customHeight="1" x14ac:dyDescent="0.3"/>
    <row r="910" s="106" customFormat="1" ht="15.75" customHeight="1" x14ac:dyDescent="0.3"/>
    <row r="911" s="106" customFormat="1" ht="15.75" customHeight="1" x14ac:dyDescent="0.3"/>
    <row r="912" s="106" customFormat="1" ht="15.75" customHeight="1" x14ac:dyDescent="0.3"/>
    <row r="913" s="106" customFormat="1" ht="15.75" customHeight="1" x14ac:dyDescent="0.3"/>
    <row r="914" s="106" customFormat="1" ht="15.75" customHeight="1" x14ac:dyDescent="0.3"/>
    <row r="915" s="106" customFormat="1" ht="15.75" customHeight="1" x14ac:dyDescent="0.3"/>
    <row r="916" s="106" customFormat="1" ht="15.75" customHeight="1" x14ac:dyDescent="0.3"/>
    <row r="917" s="106" customFormat="1" ht="15.75" customHeight="1" x14ac:dyDescent="0.3"/>
    <row r="918" s="106" customFormat="1" ht="15.75" customHeight="1" x14ac:dyDescent="0.3"/>
    <row r="919" s="106" customFormat="1" ht="15.75" customHeight="1" x14ac:dyDescent="0.3"/>
    <row r="920" s="106" customFormat="1" ht="15.75" customHeight="1" x14ac:dyDescent="0.3"/>
    <row r="921" s="106" customFormat="1" ht="15.75" customHeight="1" x14ac:dyDescent="0.3"/>
    <row r="922" s="106" customFormat="1" ht="15.75" customHeight="1" x14ac:dyDescent="0.3"/>
    <row r="923" s="106" customFormat="1" ht="15.75" customHeight="1" x14ac:dyDescent="0.3"/>
    <row r="924" s="106" customFormat="1" ht="15.75" customHeight="1" x14ac:dyDescent="0.3"/>
    <row r="925" s="106" customFormat="1" ht="15.75" customHeight="1" x14ac:dyDescent="0.3"/>
    <row r="926" s="106" customFormat="1" ht="15.75" customHeight="1" x14ac:dyDescent="0.3"/>
    <row r="927" s="106" customFormat="1" ht="15.75" customHeight="1" x14ac:dyDescent="0.3"/>
    <row r="928" s="106" customFormat="1" ht="15.75" customHeight="1" x14ac:dyDescent="0.3"/>
    <row r="929" s="106" customFormat="1" ht="15.75" customHeight="1" x14ac:dyDescent="0.3"/>
    <row r="930" s="106" customFormat="1" ht="15.75" customHeight="1" x14ac:dyDescent="0.3"/>
    <row r="931" s="106" customFormat="1" ht="15.75" customHeight="1" x14ac:dyDescent="0.3"/>
    <row r="932" s="106" customFormat="1" ht="15.75" customHeight="1" x14ac:dyDescent="0.3"/>
    <row r="933" s="106" customFormat="1" ht="15.75" customHeight="1" x14ac:dyDescent="0.3"/>
    <row r="934" s="106" customFormat="1" ht="15.75" customHeight="1" x14ac:dyDescent="0.3"/>
    <row r="935" s="106" customFormat="1" ht="15.75" customHeight="1" x14ac:dyDescent="0.3"/>
    <row r="936" s="106" customFormat="1" ht="15.75" customHeight="1" x14ac:dyDescent="0.3"/>
    <row r="937" s="106" customFormat="1" ht="15.75" customHeight="1" x14ac:dyDescent="0.3"/>
    <row r="938" s="106" customFormat="1" ht="15.75" customHeight="1" x14ac:dyDescent="0.3"/>
    <row r="939" s="106" customFormat="1" ht="15.75" customHeight="1" x14ac:dyDescent="0.3"/>
    <row r="940" s="106" customFormat="1" ht="15.75" customHeight="1" x14ac:dyDescent="0.3"/>
    <row r="941" s="106" customFormat="1" ht="15.75" customHeight="1" x14ac:dyDescent="0.3"/>
    <row r="942" s="106" customFormat="1" ht="15.75" customHeight="1" x14ac:dyDescent="0.3"/>
    <row r="943" s="106" customFormat="1" ht="15.75" customHeight="1" x14ac:dyDescent="0.3"/>
    <row r="944" s="106" customFormat="1" ht="15.75" customHeight="1" x14ac:dyDescent="0.3"/>
    <row r="945" s="106" customFormat="1" ht="15.75" customHeight="1" x14ac:dyDescent="0.3"/>
    <row r="946" s="106" customFormat="1" ht="15.75" customHeight="1" x14ac:dyDescent="0.3"/>
    <row r="947" s="106" customFormat="1" ht="15.75" customHeight="1" x14ac:dyDescent="0.3"/>
    <row r="948" s="106" customFormat="1" ht="15.75" customHeight="1" x14ac:dyDescent="0.3"/>
    <row r="949" s="106" customFormat="1" ht="15.75" customHeight="1" x14ac:dyDescent="0.3"/>
    <row r="950" s="106" customFormat="1" ht="15.75" customHeight="1" x14ac:dyDescent="0.3"/>
    <row r="951" s="106" customFormat="1" ht="15.75" customHeight="1" x14ac:dyDescent="0.3"/>
    <row r="952" s="106" customFormat="1" ht="15.75" customHeight="1" x14ac:dyDescent="0.3"/>
    <row r="953" s="106" customFormat="1" ht="15.75" customHeight="1" x14ac:dyDescent="0.3"/>
    <row r="954" s="106" customFormat="1" ht="15.75" customHeight="1" x14ac:dyDescent="0.3"/>
    <row r="955" s="106" customFormat="1" ht="15.75" customHeight="1" x14ac:dyDescent="0.3"/>
    <row r="956" s="106" customFormat="1" ht="15.75" customHeight="1" x14ac:dyDescent="0.3"/>
    <row r="957" s="106" customFormat="1" ht="15.75" customHeight="1" x14ac:dyDescent="0.3"/>
    <row r="958" s="106" customFormat="1" ht="15.75" customHeight="1" x14ac:dyDescent="0.3"/>
    <row r="959" s="106" customFormat="1" ht="15.75" customHeight="1" x14ac:dyDescent="0.3"/>
    <row r="960" s="106" customFormat="1" ht="15.75" customHeight="1" x14ac:dyDescent="0.3"/>
    <row r="961" s="106" customFormat="1" ht="15.75" customHeight="1" x14ac:dyDescent="0.3"/>
    <row r="962" s="106" customFormat="1" ht="15.75" customHeight="1" x14ac:dyDescent="0.3"/>
    <row r="963" s="106" customFormat="1" ht="15.75" customHeight="1" x14ac:dyDescent="0.3"/>
    <row r="964" s="106" customFormat="1" ht="15.75" customHeight="1" x14ac:dyDescent="0.3"/>
    <row r="965" s="106" customFormat="1" ht="15.75" customHeight="1" x14ac:dyDescent="0.3"/>
    <row r="966" s="106" customFormat="1" ht="15.75" customHeight="1" x14ac:dyDescent="0.3"/>
    <row r="967" s="106" customFormat="1" ht="15.75" customHeight="1" x14ac:dyDescent="0.3"/>
    <row r="968" s="106" customFormat="1" ht="15.75" customHeight="1" x14ac:dyDescent="0.3"/>
    <row r="969" s="106" customFormat="1" ht="15.75" customHeight="1" x14ac:dyDescent="0.3"/>
    <row r="970" s="106" customFormat="1" ht="15.75" customHeight="1" x14ac:dyDescent="0.3"/>
    <row r="971" s="106" customFormat="1" ht="15.75" customHeight="1" x14ac:dyDescent="0.3"/>
    <row r="972" s="106" customFormat="1" ht="15.75" customHeight="1" x14ac:dyDescent="0.3"/>
    <row r="973" s="106" customFormat="1" ht="15.75" customHeight="1" x14ac:dyDescent="0.3"/>
    <row r="974" s="106" customFormat="1" ht="15.75" customHeight="1" x14ac:dyDescent="0.3"/>
    <row r="975" s="106" customFormat="1" ht="15.75" customHeight="1" x14ac:dyDescent="0.3"/>
    <row r="976" s="106" customFormat="1" ht="15.75" customHeight="1" x14ac:dyDescent="0.3"/>
    <row r="977" s="106" customFormat="1" ht="15.75" customHeight="1" x14ac:dyDescent="0.3"/>
    <row r="978" s="106" customFormat="1" ht="15.75" customHeight="1" x14ac:dyDescent="0.3"/>
    <row r="979" s="106" customFormat="1" ht="15.75" customHeight="1" x14ac:dyDescent="0.3"/>
    <row r="980" s="106" customFormat="1" ht="15.75" customHeight="1" x14ac:dyDescent="0.3"/>
    <row r="981" s="106" customFormat="1" ht="15.75" customHeight="1" x14ac:dyDescent="0.3"/>
    <row r="982" s="106" customFormat="1" ht="15.75" customHeight="1" x14ac:dyDescent="0.3"/>
    <row r="983" s="106" customFormat="1" ht="15.75" customHeight="1" x14ac:dyDescent="0.3"/>
    <row r="984" s="106" customFormat="1" ht="15.75" customHeight="1" x14ac:dyDescent="0.3"/>
    <row r="985" s="106" customFormat="1" ht="15.75" customHeight="1" x14ac:dyDescent="0.3"/>
    <row r="986" s="106" customFormat="1" ht="15.75" customHeight="1" x14ac:dyDescent="0.3"/>
    <row r="987" s="106" customFormat="1" ht="15.75" customHeight="1" x14ac:dyDescent="0.3"/>
    <row r="988" s="106" customFormat="1" ht="15.75" customHeight="1" x14ac:dyDescent="0.3"/>
    <row r="989" s="106" customFormat="1" ht="15.75" customHeight="1" x14ac:dyDescent="0.3"/>
    <row r="990" s="106" customFormat="1" ht="15.75" customHeight="1" x14ac:dyDescent="0.3"/>
    <row r="991" s="106" customFormat="1" ht="15.75" customHeight="1" x14ac:dyDescent="0.3"/>
    <row r="992" s="106" customFormat="1" ht="15.75" customHeight="1" x14ac:dyDescent="0.3"/>
    <row r="993" s="106" customFormat="1" ht="15.75" customHeight="1" x14ac:dyDescent="0.3"/>
    <row r="994" s="106" customFormat="1" ht="15.75" customHeight="1" x14ac:dyDescent="0.3"/>
    <row r="995" s="106" customFormat="1" ht="15.75" customHeight="1" x14ac:dyDescent="0.3"/>
    <row r="996" s="106" customFormat="1" ht="15.75" customHeight="1" x14ac:dyDescent="0.3"/>
    <row r="997" s="106" customFormat="1" ht="15.75" customHeight="1" x14ac:dyDescent="0.3"/>
    <row r="998" s="106" customFormat="1" ht="15.75" customHeight="1" x14ac:dyDescent="0.3"/>
    <row r="999" s="106" customFormat="1" ht="15.75" customHeight="1" x14ac:dyDescent="0.3"/>
    <row r="1000" s="106" customFormat="1" ht="15.75" customHeight="1" x14ac:dyDescent="0.3"/>
  </sheetData>
  <mergeCells count="6">
    <mergeCell ref="I3:J3"/>
    <mergeCell ref="A3:A4"/>
    <mergeCell ref="B3:B4"/>
    <mergeCell ref="C3:D3"/>
    <mergeCell ref="E3:F3"/>
    <mergeCell ref="G3:H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Gustavo Lesme</cp:lastModifiedBy>
  <dcterms:created xsi:type="dcterms:W3CDTF">2025-04-15T12:33:19Z</dcterms:created>
  <dcterms:modified xsi:type="dcterms:W3CDTF">2026-06-05T02:57:35Z</dcterms:modified>
</cp:coreProperties>
</file>