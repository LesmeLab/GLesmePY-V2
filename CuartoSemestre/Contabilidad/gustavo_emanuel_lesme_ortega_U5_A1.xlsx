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13_ncr:1_{4A519A54-14BF-42E0-B8EE-81E2FCE14DA7}" xr6:coauthVersionLast="47" xr6:coauthVersionMax="47" xr10:uidLastSave="{00000000-0000-0000-0000-000000000000}"/>
  <bookViews>
    <workbookView xWindow="-108" yWindow="-108" windowWidth="23256" windowHeight="12576" xr2:uid="{7ED1451E-48DA-46BF-9503-A21F82C53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" i="1" l="1"/>
  <c r="J21" i="1"/>
  <c r="K15" i="1"/>
  <c r="E8" i="1"/>
  <c r="C8" i="1"/>
  <c r="C13" i="1"/>
  <c r="C15" i="1"/>
  <c r="E4" i="1"/>
  <c r="E3" i="1"/>
  <c r="J9" i="1"/>
  <c r="J8" i="1"/>
  <c r="J3" i="1"/>
</calcChain>
</file>

<file path=xl/sharedStrings.xml><?xml version="1.0" encoding="utf-8"?>
<sst xmlns="http://schemas.openxmlformats.org/spreadsheetml/2006/main" count="36" uniqueCount="24">
  <si>
    <t>FORMATO DEL LIBRO DIARIO</t>
  </si>
  <si>
    <t>NRO</t>
  </si>
  <si>
    <t>FECHA</t>
  </si>
  <si>
    <t>CUENTAS CONTABLES</t>
  </si>
  <si>
    <t>DEBE</t>
  </si>
  <si>
    <t>HABER</t>
  </si>
  <si>
    <t>CAJA</t>
  </si>
  <si>
    <t>MERCADERIA</t>
  </si>
  <si>
    <t>IVA CF 10%</t>
  </si>
  <si>
    <t>PROVEEDORES</t>
  </si>
  <si>
    <t>DOCUMENTOS A PAGAR</t>
  </si>
  <si>
    <t>COMPRA DE MERCADERIA S/PAGARE</t>
  </si>
  <si>
    <t>COMPRA DE MERCADERIA C/PAGARE</t>
  </si>
  <si>
    <t>VENTA</t>
  </si>
  <si>
    <t>VENTA DE MERCADERIA</t>
  </si>
  <si>
    <t>IVA DF 10%</t>
  </si>
  <si>
    <t>COSTO</t>
  </si>
  <si>
    <t>COSTO=UNID.VEND* PC S/IVA</t>
  </si>
  <si>
    <t xml:space="preserve">COSTO </t>
  </si>
  <si>
    <t>UNID VEND</t>
  </si>
  <si>
    <t>PC S/IVA</t>
  </si>
  <si>
    <t>COSTO DE VENTAS</t>
  </si>
  <si>
    <t>MERCADERIAS</t>
  </si>
  <si>
    <t>COSTEO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</si>
</sst>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₲&quot;\ * #,##0_ ;_ &quot;₲&quot;\ * \-#,##0_ ;_ &quot;₲&quot;\ * &quot;-&quot;_ ;_ @_ "/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2"/>
      <color theme="1"/>
      <name val="Aptos"/>
      <family val="2"/>
    </font>
    <font>
      <sz val="11"/>
      <color theme="1"/>
      <name val="Consolas"/>
      <family val="3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</cellStyleXfs>
  <cellXfs count="23">
    <xf numFmtId="0" fontId="0" fillId="0" borderId="0" xfId="0"/>
    <xf numFmtId="0" fontId="2" fillId="0" borderId="2" xfId="0" applyFont="1" applyBorder="1"/>
    <xf numFmtId="14" fontId="2" fillId="0" borderId="2" xfId="0" applyNumberFormat="1" applyFont="1" applyBorder="1"/>
    <xf numFmtId="42" fontId="2" fillId="0" borderId="2" xfId="1" applyFont="1" applyBorder="1"/>
    <xf numFmtId="0" fontId="4" fillId="0" borderId="2" xfId="0" applyFont="1" applyBorder="1"/>
    <xf numFmtId="14" fontId="4" fillId="0" borderId="2" xfId="0" applyNumberFormat="1" applyFont="1" applyBorder="1"/>
    <xf numFmtId="42" fontId="4" fillId="0" borderId="2" xfId="1" applyFont="1" applyBorder="1"/>
    <xf numFmtId="0" fontId="4" fillId="3" borderId="2" xfId="0" applyFont="1" applyFill="1" applyBorder="1"/>
    <xf numFmtId="42" fontId="0" fillId="0" borderId="0" xfId="1" applyFont="1"/>
    <xf numFmtId="0" fontId="3" fillId="0" borderId="0" xfId="2"/>
    <xf numFmtId="0" fontId="3" fillId="0" borderId="6" xfId="2" applyBorder="1"/>
    <xf numFmtId="0" fontId="0" fillId="0" borderId="2" xfId="0" applyBorder="1"/>
    <xf numFmtId="42" fontId="0" fillId="0" borderId="2" xfId="1" applyFont="1" applyBorder="1"/>
    <xf numFmtId="0" fontId="5" fillId="0" borderId="2" xfId="0" applyFont="1" applyBorder="1" applyAlignment="1">
      <alignment wrapText="1"/>
    </xf>
    <xf numFmtId="0" fontId="0" fillId="5" borderId="2" xfId="0" applyFill="1" applyBorder="1"/>
    <xf numFmtId="42" fontId="0" fillId="5" borderId="2" xfId="1" applyFont="1" applyFill="1" applyBorder="1"/>
    <xf numFmtId="14" fontId="0" fillId="0" borderId="2" xfId="0" applyNumberFormat="1" applyBorder="1"/>
    <xf numFmtId="0" fontId="5" fillId="0" borderId="2" xfId="0" applyFont="1" applyBorder="1"/>
    <xf numFmtId="0" fontId="2" fillId="2" borderId="1" xfId="0" applyFont="1" applyFill="1" applyBorder="1" applyAlignment="1">
      <alignment horizontal="center"/>
    </xf>
    <xf numFmtId="0" fontId="3" fillId="4" borderId="3" xfId="2" applyFill="1" applyBorder="1" applyAlignment="1">
      <alignment horizontal="center"/>
    </xf>
    <xf numFmtId="0" fontId="3" fillId="4" borderId="7" xfId="2" applyFill="1" applyBorder="1" applyAlignment="1">
      <alignment horizontal="center"/>
    </xf>
    <xf numFmtId="0" fontId="3" fillId="4" borderId="5" xfId="2" applyFill="1" applyBorder="1" applyAlignment="1">
      <alignment horizontal="center"/>
    </xf>
    <xf numFmtId="0" fontId="3" fillId="4" borderId="4" xfId="2" applyFill="1" applyBorder="1" applyAlignment="1">
      <alignment horizontal="center"/>
    </xf>
  </cellXfs>
  <cellStyles count="4">
    <cellStyle name="Comma [0] 2" xfId="3" xr:uid="{9E4EFD7B-4098-45ED-A99E-730688C8EF8E}"/>
    <cellStyle name="Currency [0]" xfId="1" builtinId="7"/>
    <cellStyle name="Normal" xfId="0" builtinId="0"/>
    <cellStyle name="Normal 2" xfId="2" xr:uid="{F8B6C6B4-18CF-41DA-9444-E87DE032F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ABF6-20A6-4C2A-ACFC-D98DC520C48A}">
  <dimension ref="A1:K21"/>
  <sheetViews>
    <sheetView tabSelected="1" zoomScale="110" zoomScaleNormal="110" workbookViewId="0">
      <selection activeCell="K22" sqref="K22"/>
    </sheetView>
  </sheetViews>
  <sheetFormatPr defaultRowHeight="14.4" x14ac:dyDescent="0.3"/>
  <cols>
    <col min="4" max="4" width="24.77734375" bestFit="1" customWidth="1"/>
    <col min="8" max="8" width="9.88671875" bestFit="1" customWidth="1"/>
    <col min="9" max="9" width="22.109375" bestFit="1" customWidth="1"/>
    <col min="10" max="10" width="13.33203125" style="8" bestFit="1" customWidth="1"/>
    <col min="11" max="11" width="11.77734375" style="8" bestFit="1" customWidth="1"/>
  </cols>
  <sheetData>
    <row r="1" spans="1:11" ht="15" thickBot="1" x14ac:dyDescent="0.35">
      <c r="B1" t="s">
        <v>13</v>
      </c>
      <c r="G1" s="18" t="s">
        <v>0</v>
      </c>
      <c r="H1" s="18"/>
      <c r="I1" s="18"/>
      <c r="J1" s="18"/>
      <c r="K1" s="18"/>
    </row>
    <row r="2" spans="1:11" ht="16.2" thickBot="1" x14ac:dyDescent="0.35">
      <c r="A2">
        <v>990000</v>
      </c>
      <c r="B2" s="19" t="s">
        <v>4</v>
      </c>
      <c r="C2" s="20"/>
      <c r="D2" s="21" t="s">
        <v>5</v>
      </c>
      <c r="E2" s="22"/>
      <c r="G2" s="1" t="s">
        <v>1</v>
      </c>
      <c r="H2" s="2" t="s">
        <v>2</v>
      </c>
      <c r="I2" s="1" t="s">
        <v>3</v>
      </c>
      <c r="J2" s="3" t="s">
        <v>4</v>
      </c>
      <c r="K2" s="3" t="s">
        <v>5</v>
      </c>
    </row>
    <row r="3" spans="1:11" ht="15.6" x14ac:dyDescent="0.3">
      <c r="B3" s="9" t="s">
        <v>6</v>
      </c>
      <c r="C3" s="9">
        <v>990000</v>
      </c>
      <c r="D3" s="10" t="s">
        <v>14</v>
      </c>
      <c r="E3" s="9">
        <f>A2/1.1</f>
        <v>899999.99999999988</v>
      </c>
      <c r="G3" s="4">
        <v>1</v>
      </c>
      <c r="H3" s="5">
        <v>46174</v>
      </c>
      <c r="I3" s="7" t="s">
        <v>7</v>
      </c>
      <c r="J3" s="6">
        <f>880000/1.1</f>
        <v>799999.99999999988</v>
      </c>
      <c r="K3" s="6"/>
    </row>
    <row r="4" spans="1:11" ht="15.6" x14ac:dyDescent="0.3">
      <c r="B4" s="9"/>
      <c r="C4" s="9"/>
      <c r="D4" s="10" t="s">
        <v>15</v>
      </c>
      <c r="E4" s="9">
        <f>A2/11</f>
        <v>90000</v>
      </c>
      <c r="G4" s="11"/>
      <c r="H4" s="11"/>
      <c r="I4" s="11" t="s">
        <v>8</v>
      </c>
      <c r="J4" s="12">
        <v>80000</v>
      </c>
      <c r="K4" s="12"/>
    </row>
    <row r="5" spans="1:11" ht="15.6" x14ac:dyDescent="0.3">
      <c r="B5" s="9"/>
      <c r="C5" s="9"/>
      <c r="D5" s="10"/>
      <c r="E5" s="9"/>
      <c r="G5" s="11"/>
      <c r="H5" s="11"/>
      <c r="I5" s="11" t="s">
        <v>9</v>
      </c>
      <c r="J5" s="12"/>
      <c r="K5" s="12">
        <v>880000</v>
      </c>
    </row>
    <row r="6" spans="1:11" ht="29.4" thickBot="1" x14ac:dyDescent="0.35">
      <c r="B6" t="s">
        <v>16</v>
      </c>
      <c r="G6" s="11"/>
      <c r="H6" s="11"/>
      <c r="I6" s="13" t="s">
        <v>11</v>
      </c>
      <c r="J6" s="12"/>
      <c r="K6" s="12"/>
    </row>
    <row r="7" spans="1:11" ht="16.2" thickBot="1" x14ac:dyDescent="0.35">
      <c r="B7" s="19" t="s">
        <v>4</v>
      </c>
      <c r="C7" s="20"/>
      <c r="D7" s="21" t="s">
        <v>5</v>
      </c>
      <c r="E7" s="22"/>
      <c r="G7" s="14"/>
      <c r="H7" s="14"/>
      <c r="I7" s="14"/>
      <c r="J7" s="15"/>
      <c r="K7" s="15"/>
    </row>
    <row r="8" spans="1:11" ht="15.6" x14ac:dyDescent="0.3">
      <c r="B8" s="9" t="s">
        <v>21</v>
      </c>
      <c r="C8" s="9">
        <f>C13</f>
        <v>799999.99999999988</v>
      </c>
      <c r="D8" s="10" t="s">
        <v>22</v>
      </c>
      <c r="E8" s="9">
        <f>C8</f>
        <v>799999.99999999988</v>
      </c>
      <c r="G8" s="11">
        <v>2</v>
      </c>
      <c r="H8" s="16">
        <v>46174</v>
      </c>
      <c r="I8" s="11" t="s">
        <v>7</v>
      </c>
      <c r="J8" s="12">
        <f>880000/1.1</f>
        <v>799999.99999999988</v>
      </c>
      <c r="K8" s="12"/>
    </row>
    <row r="9" spans="1:11" ht="15.6" x14ac:dyDescent="0.3">
      <c r="B9" s="9"/>
      <c r="C9" s="9"/>
      <c r="D9" s="10"/>
      <c r="E9" s="9"/>
      <c r="G9" s="11"/>
      <c r="H9" s="11"/>
      <c r="I9" s="11" t="s">
        <v>8</v>
      </c>
      <c r="J9" s="12">
        <f>880000/11</f>
        <v>80000</v>
      </c>
      <c r="K9" s="12"/>
    </row>
    <row r="10" spans="1:11" ht="15.6" x14ac:dyDescent="0.3">
      <c r="B10" s="9"/>
      <c r="C10" s="9"/>
      <c r="D10" s="10"/>
      <c r="E10" s="9"/>
      <c r="G10" s="11"/>
      <c r="H10" s="11"/>
      <c r="I10" s="11" t="s">
        <v>10</v>
      </c>
      <c r="J10" s="12"/>
      <c r="K10" s="12">
        <v>880000</v>
      </c>
    </row>
    <row r="11" spans="1:11" ht="28.8" x14ac:dyDescent="0.3">
      <c r="G11" s="11"/>
      <c r="H11" s="11"/>
      <c r="I11" s="13" t="s">
        <v>12</v>
      </c>
      <c r="J11" s="12"/>
      <c r="K11" s="12"/>
    </row>
    <row r="12" spans="1:11" x14ac:dyDescent="0.3">
      <c r="B12" t="s">
        <v>17</v>
      </c>
      <c r="G12" s="14"/>
      <c r="H12" s="14"/>
      <c r="I12" s="14"/>
      <c r="J12" s="15"/>
      <c r="K12" s="15"/>
    </row>
    <row r="13" spans="1:11" x14ac:dyDescent="0.3">
      <c r="B13" t="s">
        <v>18</v>
      </c>
      <c r="C13">
        <f>C15</f>
        <v>799999.99999999988</v>
      </c>
      <c r="G13" s="11">
        <v>3</v>
      </c>
      <c r="H13" s="16">
        <v>46174</v>
      </c>
      <c r="I13" s="11" t="s">
        <v>6</v>
      </c>
      <c r="J13" s="12">
        <v>990000</v>
      </c>
      <c r="K13" s="12"/>
    </row>
    <row r="14" spans="1:11" x14ac:dyDescent="0.3">
      <c r="B14" t="s">
        <v>19</v>
      </c>
      <c r="C14">
        <v>1</v>
      </c>
      <c r="G14" s="11"/>
      <c r="H14" s="11"/>
      <c r="I14" s="11" t="s">
        <v>14</v>
      </c>
      <c r="J14" s="12"/>
      <c r="K14" s="12">
        <v>900000</v>
      </c>
    </row>
    <row r="15" spans="1:11" x14ac:dyDescent="0.3">
      <c r="B15" t="s">
        <v>20</v>
      </c>
      <c r="C15">
        <f>880000/1.1</f>
        <v>799999.99999999988</v>
      </c>
      <c r="G15" s="11"/>
      <c r="H15" s="11"/>
      <c r="I15" s="11" t="s">
        <v>15</v>
      </c>
      <c r="J15" s="12"/>
      <c r="K15" s="12">
        <f>E4</f>
        <v>90000</v>
      </c>
    </row>
    <row r="16" spans="1:11" x14ac:dyDescent="0.3">
      <c r="G16" s="11"/>
      <c r="H16" s="11"/>
      <c r="I16" s="17" t="s">
        <v>14</v>
      </c>
      <c r="J16" s="12"/>
      <c r="K16" s="12"/>
    </row>
    <row r="17" spans="7:11" x14ac:dyDescent="0.3">
      <c r="G17" s="14"/>
      <c r="H17" s="14"/>
      <c r="I17" s="14"/>
      <c r="J17" s="15"/>
      <c r="K17" s="15"/>
    </row>
    <row r="18" spans="7:11" x14ac:dyDescent="0.3">
      <c r="G18" s="11">
        <v>4</v>
      </c>
      <c r="H18" s="16">
        <v>46174</v>
      </c>
      <c r="I18" s="11" t="s">
        <v>21</v>
      </c>
      <c r="J18" s="12">
        <v>800000</v>
      </c>
      <c r="K18" s="12"/>
    </row>
    <row r="19" spans="7:11" x14ac:dyDescent="0.3">
      <c r="G19" s="11"/>
      <c r="H19" s="11"/>
      <c r="I19" s="11" t="s">
        <v>22</v>
      </c>
      <c r="J19" s="12"/>
      <c r="K19" s="12">
        <v>800000</v>
      </c>
    </row>
    <row r="20" spans="7:11" x14ac:dyDescent="0.3">
      <c r="G20" s="11"/>
      <c r="H20" s="11"/>
      <c r="I20" s="17" t="s">
        <v>23</v>
      </c>
      <c r="J20" s="12"/>
      <c r="K20" s="12"/>
    </row>
    <row r="21" spans="7:11" x14ac:dyDescent="0.3">
      <c r="J21" s="8">
        <f>SUM(J3:J20)</f>
        <v>3550000</v>
      </c>
      <c r="K21" s="8">
        <f>SUM(K3:K20)</f>
        <v>3550000</v>
      </c>
    </row>
  </sheetData>
  <mergeCells count="5">
    <mergeCell ref="G1:K1"/>
    <mergeCell ref="B2:C2"/>
    <mergeCell ref="D2:E2"/>
    <mergeCell ref="B7:C7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2026-06-03T02:43:43Z</dcterms:created>
  <dcterms:modified xsi:type="dcterms:W3CDTF">2026-06-03T07:29:27Z</dcterms:modified>
</cp:coreProperties>
</file>