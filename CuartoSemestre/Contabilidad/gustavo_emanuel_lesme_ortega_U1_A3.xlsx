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05BF56C1-8966-490E-B9B3-27F7C8FE2920}" xr6:coauthVersionLast="47" xr6:coauthVersionMax="47" xr10:uidLastSave="{00000000-0000-0000-0000-000000000000}"/>
  <bookViews>
    <workbookView xWindow="2892" yWindow="2016" windowWidth="17280" windowHeight="8964" xr2:uid="{A419B3ED-DA48-41D1-89F0-681B25B31FD6}"/>
  </bookViews>
  <sheets>
    <sheet name="Tarea 1.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E22" i="1"/>
  <c r="C22" i="1"/>
  <c r="E21" i="1"/>
  <c r="E23" i="1" s="1"/>
  <c r="C21" i="1"/>
  <c r="E20" i="1"/>
  <c r="C20" i="1"/>
  <c r="C12" i="1"/>
  <c r="C11" i="1"/>
  <c r="C10" i="1"/>
  <c r="E9" i="1"/>
  <c r="C9" i="1"/>
  <c r="C8" i="1"/>
  <c r="E7" i="1"/>
  <c r="E10" i="1" s="1"/>
  <c r="C7" i="1"/>
  <c r="C13" i="1" s="1"/>
  <c r="E11" i="1" s="1"/>
  <c r="E13" i="1" l="1"/>
  <c r="E25" i="1"/>
  <c r="E26" i="1" s="1"/>
</calcChain>
</file>

<file path=xl/sharedStrings.xml><?xml version="1.0" encoding="utf-8"?>
<sst xmlns="http://schemas.openxmlformats.org/spreadsheetml/2006/main" count="37" uniqueCount="21">
  <si>
    <t>HALLA EL PATRIMONIO NETO (UTILIZA EL ESQUEMA T, UTILIZA LA ECUACIÓN PATRIMONIAL Y DEMUESTRA EL EQUILIBRIO PATRIMONIAL)</t>
  </si>
  <si>
    <t>1- La empresa PROGRA+ ….</t>
  </si>
  <si>
    <t>DEBE</t>
  </si>
  <si>
    <t>HABER</t>
  </si>
  <si>
    <t>BANCO XX CTA.CTE</t>
  </si>
  <si>
    <t>PROVEEDORES</t>
  </si>
  <si>
    <t>MUEBLES Y UTILES</t>
  </si>
  <si>
    <t>INTERES A PAGAR</t>
  </si>
  <si>
    <t>IVA CF 10 %</t>
  </si>
  <si>
    <t>PRESTAMOS BANCARIOS</t>
  </si>
  <si>
    <t>EQUIPOS DE INFORMATICA</t>
  </si>
  <si>
    <t>TOTAL PASIVO</t>
  </si>
  <si>
    <t>EQUIPO DE INFORMATICA</t>
  </si>
  <si>
    <t>CAPITAL</t>
  </si>
  <si>
    <t>TOTAL ACTIVO</t>
  </si>
  <si>
    <t>PASIVO+P.NETO</t>
  </si>
  <si>
    <t>2- La empresa PYTHON ….</t>
  </si>
  <si>
    <t>DOCUMENTO A PAGAR</t>
  </si>
  <si>
    <t>IVA CF 10%</t>
  </si>
  <si>
    <t>ELEMENTO DE TRANSPORTE</t>
  </si>
  <si>
    <t>PASIVO +P.NETO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</si>
</sst>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42" fontId="0" fillId="0" borderId="0" xfId="1" applyFont="1"/>
    <xf numFmtId="42" fontId="0" fillId="0" borderId="4" xfId="1" applyFont="1" applyBorder="1"/>
    <xf numFmtId="42" fontId="0" fillId="0" borderId="5" xfId="1" applyFont="1" applyBorder="1"/>
    <xf numFmtId="42" fontId="0" fillId="0" borderId="6" xfId="1" applyFont="1" applyBorder="1"/>
    <xf numFmtId="0" fontId="2" fillId="0" borderId="0" xfId="0" applyFont="1"/>
    <xf numFmtId="42" fontId="2" fillId="0" borderId="5" xfId="1" applyFont="1" applyBorder="1"/>
    <xf numFmtId="42" fontId="2" fillId="0" borderId="6" xfId="1" applyFont="1" applyBorder="1"/>
    <xf numFmtId="42" fontId="2" fillId="0" borderId="0" xfId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7252-B853-45A3-A8E3-2D3378A06CDD}">
  <dimension ref="A1:E27"/>
  <sheetViews>
    <sheetView tabSelected="1" workbookViewId="0">
      <selection activeCell="B32" sqref="B32"/>
    </sheetView>
  </sheetViews>
  <sheetFormatPr defaultRowHeight="14.4" x14ac:dyDescent="0.3"/>
  <cols>
    <col min="2" max="2" width="23.6640625" bestFit="1" customWidth="1"/>
    <col min="3" max="3" width="12.6640625" bestFit="1" customWidth="1"/>
    <col min="4" max="4" width="21.44140625" bestFit="1" customWidth="1"/>
    <col min="5" max="5" width="12.6640625" bestFit="1" customWidth="1"/>
  </cols>
  <sheetData>
    <row r="1" spans="1:5" ht="15" x14ac:dyDescent="0.35">
      <c r="A1" s="1" t="s">
        <v>0</v>
      </c>
      <c r="C1" s="2"/>
      <c r="E1" s="2"/>
    </row>
    <row r="2" spans="1:5" x14ac:dyDescent="0.3">
      <c r="C2" s="2"/>
      <c r="E2" s="2"/>
    </row>
    <row r="3" spans="1:5" x14ac:dyDescent="0.3">
      <c r="A3" t="s">
        <v>1</v>
      </c>
      <c r="C3" s="2"/>
      <c r="E3" s="2"/>
    </row>
    <row r="4" spans="1:5" x14ac:dyDescent="0.3">
      <c r="C4" s="2"/>
      <c r="E4" s="2"/>
    </row>
    <row r="5" spans="1:5" x14ac:dyDescent="0.3">
      <c r="B5" s="10" t="s">
        <v>2</v>
      </c>
      <c r="C5" s="11"/>
      <c r="D5" s="10" t="s">
        <v>3</v>
      </c>
      <c r="E5" s="12"/>
    </row>
    <row r="6" spans="1:5" x14ac:dyDescent="0.3">
      <c r="B6" t="s">
        <v>4</v>
      </c>
      <c r="C6" s="3">
        <v>31000000</v>
      </c>
      <c r="D6" t="s">
        <v>5</v>
      </c>
      <c r="E6" s="4">
        <v>8000000</v>
      </c>
    </row>
    <row r="7" spans="1:5" x14ac:dyDescent="0.3">
      <c r="B7" t="s">
        <v>6</v>
      </c>
      <c r="C7" s="5">
        <f>5800000/1.1</f>
        <v>5272727.2727272725</v>
      </c>
      <c r="D7" t="s">
        <v>7</v>
      </c>
      <c r="E7" s="4">
        <f>(8000000*180*10)/(360*100)</f>
        <v>400000</v>
      </c>
    </row>
    <row r="8" spans="1:5" x14ac:dyDescent="0.3">
      <c r="B8" t="s">
        <v>8</v>
      </c>
      <c r="C8" s="5">
        <f>5800000/11</f>
        <v>527272.72727272729</v>
      </c>
      <c r="D8" t="s">
        <v>9</v>
      </c>
      <c r="E8" s="4">
        <v>3000000</v>
      </c>
    </row>
    <row r="9" spans="1:5" x14ac:dyDescent="0.3">
      <c r="B9" t="s">
        <v>10</v>
      </c>
      <c r="C9" s="5">
        <f>5*3500000/1.1</f>
        <v>15909090.909090908</v>
      </c>
      <c r="D9" t="s">
        <v>7</v>
      </c>
      <c r="E9" s="4">
        <f>(3000000*90*8)/(365*100)</f>
        <v>59178.082191780821</v>
      </c>
    </row>
    <row r="10" spans="1:5" x14ac:dyDescent="0.3">
      <c r="B10" t="s">
        <v>8</v>
      </c>
      <c r="C10" s="5">
        <f>5*3500000/11</f>
        <v>1590909.0909090908</v>
      </c>
      <c r="D10" s="6" t="s">
        <v>11</v>
      </c>
      <c r="E10" s="7">
        <f>SUM(E6:E9)</f>
        <v>11459178.08219178</v>
      </c>
    </row>
    <row r="11" spans="1:5" x14ac:dyDescent="0.3">
      <c r="B11" t="s">
        <v>12</v>
      </c>
      <c r="C11" s="5">
        <f>3000000/1.1</f>
        <v>2727272.7272727271</v>
      </c>
      <c r="D11" s="6" t="s">
        <v>13</v>
      </c>
      <c r="E11" s="7">
        <f>C13-E10</f>
        <v>45840821.91780822</v>
      </c>
    </row>
    <row r="12" spans="1:5" x14ac:dyDescent="0.3">
      <c r="B12" t="s">
        <v>8</v>
      </c>
      <c r="C12" s="5">
        <f>3000000/11</f>
        <v>272727.27272727271</v>
      </c>
      <c r="D12" s="6"/>
      <c r="E12" s="4"/>
    </row>
    <row r="13" spans="1:5" x14ac:dyDescent="0.3">
      <c r="B13" s="6" t="s">
        <v>14</v>
      </c>
      <c r="C13" s="8">
        <f>SUM(C6:C12)</f>
        <v>57300000</v>
      </c>
      <c r="D13" s="6" t="s">
        <v>15</v>
      </c>
      <c r="E13" s="7">
        <f>E10+E11</f>
        <v>57300000</v>
      </c>
    </row>
    <row r="14" spans="1:5" x14ac:dyDescent="0.3">
      <c r="C14" s="5"/>
      <c r="E14" s="4"/>
    </row>
    <row r="15" spans="1:5" x14ac:dyDescent="0.3">
      <c r="C15" s="2"/>
      <c r="E15" s="2"/>
    </row>
    <row r="16" spans="1:5" x14ac:dyDescent="0.3">
      <c r="A16" t="s">
        <v>16</v>
      </c>
      <c r="C16" s="2"/>
      <c r="E16" s="2"/>
    </row>
    <row r="17" spans="2:5" x14ac:dyDescent="0.3">
      <c r="C17" s="2"/>
      <c r="E17" s="2"/>
    </row>
    <row r="18" spans="2:5" x14ac:dyDescent="0.3">
      <c r="B18" s="10" t="s">
        <v>2</v>
      </c>
      <c r="C18" s="11"/>
      <c r="D18" s="10" t="s">
        <v>3</v>
      </c>
      <c r="E18" s="12"/>
    </row>
    <row r="19" spans="2:5" x14ac:dyDescent="0.3">
      <c r="B19" t="s">
        <v>4</v>
      </c>
      <c r="C19" s="3">
        <v>20000000</v>
      </c>
      <c r="D19" t="s">
        <v>17</v>
      </c>
      <c r="E19" s="4">
        <v>5000000</v>
      </c>
    </row>
    <row r="20" spans="2:5" x14ac:dyDescent="0.3">
      <c r="B20" t="s">
        <v>6</v>
      </c>
      <c r="C20" s="5">
        <f>15700000/1.1</f>
        <v>14272727.272727272</v>
      </c>
      <c r="D20" t="s">
        <v>7</v>
      </c>
      <c r="E20" s="4">
        <f>(5000000*180*12)/(360*100)</f>
        <v>300000</v>
      </c>
    </row>
    <row r="21" spans="2:5" x14ac:dyDescent="0.3">
      <c r="B21" t="s">
        <v>18</v>
      </c>
      <c r="C21" s="5">
        <f>15700000/11</f>
        <v>1427272.7272727273</v>
      </c>
      <c r="D21" t="s">
        <v>9</v>
      </c>
      <c r="E21" s="2">
        <f>6000000</f>
        <v>6000000</v>
      </c>
    </row>
    <row r="22" spans="2:5" x14ac:dyDescent="0.3">
      <c r="B22" t="s">
        <v>10</v>
      </c>
      <c r="C22" s="5">
        <f>7*2500000/1.1</f>
        <v>15909090.909090908</v>
      </c>
      <c r="D22" t="s">
        <v>7</v>
      </c>
      <c r="E22" s="2">
        <f>(6000000*60*11)/(365*100)</f>
        <v>108493.1506849315</v>
      </c>
    </row>
    <row r="23" spans="2:5" x14ac:dyDescent="0.3">
      <c r="B23" t="s">
        <v>18</v>
      </c>
      <c r="C23" s="5">
        <f>7*2500000/11</f>
        <v>1590909.0909090908</v>
      </c>
      <c r="D23" s="6" t="s">
        <v>11</v>
      </c>
      <c r="E23" s="9">
        <f>SUM(E19:E22)</f>
        <v>11408493.150684932</v>
      </c>
    </row>
    <row r="24" spans="2:5" x14ac:dyDescent="0.3">
      <c r="B24" t="s">
        <v>19</v>
      </c>
      <c r="C24" s="5">
        <f>20000000/1.1</f>
        <v>18181818.18181818</v>
      </c>
      <c r="E24" s="2"/>
    </row>
    <row r="25" spans="2:5" x14ac:dyDescent="0.3">
      <c r="B25" t="s">
        <v>18</v>
      </c>
      <c r="C25" s="5">
        <f>20000000/11</f>
        <v>1818181.8181818181</v>
      </c>
      <c r="D25" s="6" t="s">
        <v>13</v>
      </c>
      <c r="E25" s="9">
        <f>C26-E23</f>
        <v>61791506.84931507</v>
      </c>
    </row>
    <row r="26" spans="2:5" x14ac:dyDescent="0.3">
      <c r="B26" s="6" t="s">
        <v>14</v>
      </c>
      <c r="C26" s="8">
        <f>SUM(C19:C25)</f>
        <v>73200000</v>
      </c>
      <c r="D26" s="6" t="s">
        <v>20</v>
      </c>
      <c r="E26" s="9">
        <f>E25+E23</f>
        <v>73200000</v>
      </c>
    </row>
    <row r="27" spans="2:5" x14ac:dyDescent="0.3">
      <c r="C27" s="2"/>
      <c r="E27" s="2"/>
    </row>
  </sheetData>
  <mergeCells count="4">
    <mergeCell ref="B5:C5"/>
    <mergeCell ref="D5:E5"/>
    <mergeCell ref="B18:C18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 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2026-04-15T09:34:07Z</dcterms:created>
  <dcterms:modified xsi:type="dcterms:W3CDTF">2026-04-15T11:58:51Z</dcterms:modified>
</cp:coreProperties>
</file>